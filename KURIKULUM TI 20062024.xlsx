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ufias/Library/CloudStorage/GoogleDrive-amylufias@gmail.com/My Drive/ISTEK-AK/Prodi TI/Kurikulum/"/>
    </mc:Choice>
  </mc:AlternateContent>
  <xr:revisionPtr revIDLastSave="0" documentId="13_ncr:1_{9A2F29EF-6415-0549-B07F-130947741322}" xr6:coauthVersionLast="47" xr6:coauthVersionMax="47" xr10:uidLastSave="{00000000-0000-0000-0000-000000000000}"/>
  <bookViews>
    <workbookView minimized="1" xWindow="0" yWindow="500" windowWidth="28800" windowHeight="16360" xr2:uid="{00000000-000D-0000-FFFF-FFFF00000000}"/>
  </bookViews>
  <sheets>
    <sheet name="TEKNOLOGI INFORMASI (2)" sheetId="8" r:id="rId1"/>
    <sheet name="PENGAMPU TI" sheetId="6" r:id="rId2"/>
    <sheet name="Sheet1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iM2hhfMziaG0s9nvMNOaRUAtwNkg=="/>
    </ext>
  </extLst>
</workbook>
</file>

<file path=xl/calcChain.xml><?xml version="1.0" encoding="utf-8"?>
<calcChain xmlns="http://schemas.openxmlformats.org/spreadsheetml/2006/main">
  <c r="L92" i="8" l="1"/>
  <c r="L90" i="8"/>
  <c r="L88" i="8"/>
  <c r="C112" i="8"/>
  <c r="C111" i="8"/>
  <c r="I111" i="8"/>
  <c r="G113" i="8"/>
  <c r="I105" i="8"/>
  <c r="G70" i="8"/>
  <c r="I101" i="8"/>
  <c r="H113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J89" i="8"/>
  <c r="C87" i="8"/>
  <c r="C86" i="8"/>
  <c r="C85" i="8"/>
  <c r="H83" i="8"/>
  <c r="G83" i="8"/>
  <c r="C81" i="8"/>
  <c r="C80" i="8"/>
  <c r="C79" i="8"/>
  <c r="J77" i="8"/>
  <c r="C76" i="8"/>
  <c r="C75" i="8"/>
  <c r="C74" i="8"/>
  <c r="C73" i="8"/>
  <c r="H70" i="8"/>
  <c r="C67" i="8"/>
  <c r="C66" i="8"/>
  <c r="C65" i="8"/>
  <c r="C64" i="8"/>
  <c r="C63" i="8"/>
  <c r="C62" i="8"/>
  <c r="C61" i="8"/>
  <c r="C60" i="8"/>
  <c r="C59" i="8"/>
  <c r="H56" i="8"/>
  <c r="G56" i="8"/>
  <c r="C52" i="8"/>
  <c r="H46" i="8"/>
  <c r="G46" i="8"/>
  <c r="G47" i="8" s="1"/>
  <c r="J47" i="8" s="1"/>
  <c r="C44" i="8"/>
  <c r="C42" i="8"/>
  <c r="C41" i="8"/>
  <c r="C39" i="8"/>
  <c r="C38" i="8"/>
  <c r="H36" i="8"/>
  <c r="G36" i="8"/>
  <c r="C35" i="8"/>
  <c r="C34" i="8"/>
  <c r="C33" i="8"/>
  <c r="C32" i="8"/>
  <c r="C31" i="8"/>
  <c r="C30" i="8"/>
  <c r="C29" i="8"/>
  <c r="C28" i="8"/>
  <c r="H26" i="8"/>
  <c r="G26" i="8"/>
  <c r="C23" i="8"/>
  <c r="C22" i="8"/>
  <c r="C21" i="8"/>
  <c r="C20" i="8"/>
  <c r="C19" i="8"/>
  <c r="C18" i="8"/>
  <c r="H15" i="8"/>
  <c r="G15" i="8"/>
  <c r="C14" i="8"/>
  <c r="C13" i="8"/>
  <c r="C12" i="8"/>
  <c r="C11" i="8"/>
  <c r="C10" i="8"/>
  <c r="C9" i="8"/>
  <c r="C8" i="8"/>
  <c r="C7" i="8"/>
  <c r="K9" i="7"/>
  <c r="K12" i="7"/>
  <c r="K6" i="7"/>
  <c r="M13" i="7"/>
  <c r="J7" i="7" s="1"/>
  <c r="E5" i="7"/>
  <c r="G7" i="7" s="1"/>
  <c r="G6" i="7" s="1"/>
  <c r="G5" i="7" s="1"/>
  <c r="B15" i="6"/>
  <c r="B14" i="6"/>
  <c r="B13" i="6"/>
  <c r="B12" i="6"/>
  <c r="B11" i="6"/>
  <c r="B10" i="6"/>
  <c r="B9" i="6"/>
  <c r="B8" i="6"/>
  <c r="B7" i="6"/>
  <c r="A7" i="6"/>
  <c r="A15" i="6"/>
  <c r="A14" i="6"/>
  <c r="A13" i="6"/>
  <c r="A12" i="6"/>
  <c r="A11" i="6"/>
  <c r="A10" i="6"/>
  <c r="A9" i="6"/>
  <c r="A8" i="6"/>
  <c r="G71" i="8" l="1"/>
  <c r="G84" i="8"/>
  <c r="J84" i="8" s="1"/>
  <c r="G90" i="8"/>
  <c r="G57" i="8"/>
  <c r="J57" i="8" s="1"/>
  <c r="G37" i="8"/>
  <c r="J71" i="8"/>
  <c r="G91" i="8"/>
  <c r="G27" i="8"/>
  <c r="J27" i="8" s="1"/>
  <c r="G16" i="8"/>
  <c r="J16" i="8" s="1"/>
  <c r="J6" i="7"/>
  <c r="K7" i="7" s="1"/>
  <c r="K8" i="7"/>
  <c r="J13" i="7"/>
  <c r="J12" i="7" s="1"/>
  <c r="J10" i="7"/>
  <c r="F6" i="7"/>
  <c r="F7" i="7" s="1"/>
  <c r="F8" i="7" s="1"/>
  <c r="G92" i="8" l="1"/>
  <c r="I90" i="8" s="1"/>
  <c r="J9" i="7"/>
  <c r="K10" i="7" s="1"/>
  <c r="K11" i="7"/>
  <c r="K13" i="7"/>
  <c r="K14" i="7"/>
  <c r="I91" i="8" l="1"/>
  <c r="I92" i="8" s="1"/>
</calcChain>
</file>

<file path=xl/sharedStrings.xml><?xml version="1.0" encoding="utf-8"?>
<sst xmlns="http://schemas.openxmlformats.org/spreadsheetml/2006/main" count="284" uniqueCount="139">
  <si>
    <t>Semester</t>
  </si>
  <si>
    <t>Nama Mata Kuliah</t>
  </si>
  <si>
    <t>Bobot SKS</t>
  </si>
  <si>
    <t>RPS</t>
  </si>
  <si>
    <t>Teori</t>
  </si>
  <si>
    <t>Praktik</t>
  </si>
  <si>
    <t>Keimanan, Kemanusiaan dan Akhlak</t>
  </si>
  <si>
    <t>Bahasa Indonesia</t>
  </si>
  <si>
    <t>Pancasila</t>
  </si>
  <si>
    <t>Total SKS</t>
  </si>
  <si>
    <t>Sistem Informasi Kesehatan</t>
  </si>
  <si>
    <t>Kewarganegaraan</t>
  </si>
  <si>
    <t>Kemuhammadiyahan dan Ke’Aisyiyahan</t>
  </si>
  <si>
    <t>Islam dan IPTEK</t>
  </si>
  <si>
    <t>Semester V MB-KM</t>
  </si>
  <si>
    <t>Mahasiswa memilih 20 SKS MK di Luar Prodi dalam ISTEK yang tersedia pada Tabel mata kuliah luar prodi, sesuai minat mahasiswa</t>
  </si>
  <si>
    <t>MK Pilihan dalam Prodi sesuai tabel</t>
  </si>
  <si>
    <t>Semester VI MB-KM</t>
  </si>
  <si>
    <t>Mengajar di Satuan Pendidikan</t>
  </si>
  <si>
    <t>Magang/Praktik Kerja</t>
  </si>
  <si>
    <t>Pertukaran Mahasiswa</t>
  </si>
  <si>
    <t>Proyek Kemanusiaan</t>
  </si>
  <si>
    <t>Pilih Salah Satu, Total SKS</t>
  </si>
  <si>
    <t>Semester VII MB-KM</t>
  </si>
  <si>
    <t>Penelitian/Riset</t>
  </si>
  <si>
    <t>Seminar Proposal</t>
  </si>
  <si>
    <t>Skripsi</t>
  </si>
  <si>
    <t>Jumlah SKS</t>
  </si>
  <si>
    <t>Total</t>
  </si>
  <si>
    <t>KURIKULUM PRODI TEKNOLOGI INFORMASI</t>
  </si>
  <si>
    <t>Kode Matkul</t>
  </si>
  <si>
    <t>ISA101</t>
  </si>
  <si>
    <t>ISA</t>
  </si>
  <si>
    <t>TKI</t>
  </si>
  <si>
    <t>Logika Informatika</t>
  </si>
  <si>
    <t>√</t>
  </si>
  <si>
    <t>Algoritma &amp; Pemrograman</t>
  </si>
  <si>
    <t>Bahasa Inggris I</t>
  </si>
  <si>
    <t>Pengantar Teknologi Informasi</t>
  </si>
  <si>
    <t>Komunikasi Data</t>
  </si>
  <si>
    <t>Aljabar Linear dan Matriks</t>
  </si>
  <si>
    <t>Hardware/Software</t>
  </si>
  <si>
    <t>Sistem Operasi</t>
  </si>
  <si>
    <t>Sistem Basis Data</t>
  </si>
  <si>
    <t>Organisasi &amp; Arsitektur Komputer</t>
  </si>
  <si>
    <t>Manajemen Sistem Informasi</t>
  </si>
  <si>
    <t>Kalkulus</t>
  </si>
  <si>
    <t>Komputer Grafis</t>
  </si>
  <si>
    <t>Kewirausahaan</t>
  </si>
  <si>
    <t>Metodologi Penelitian</t>
  </si>
  <si>
    <t>Rekayasa Perangkat Lunak</t>
  </si>
  <si>
    <t>Struktur Data</t>
  </si>
  <si>
    <t>Data Mining</t>
  </si>
  <si>
    <t>Semester V Regular</t>
  </si>
  <si>
    <t>Kecerdasan Buatan</t>
  </si>
  <si>
    <t>Semester VI Regular</t>
  </si>
  <si>
    <t>Riset Operasi</t>
  </si>
  <si>
    <t>Tugas Praktek</t>
  </si>
  <si>
    <t>Data Science</t>
  </si>
  <si>
    <t xml:space="preserve">Membangun Desa/KKN Tematik </t>
  </si>
  <si>
    <t xml:space="preserve">Kegiatan Wirausaha </t>
  </si>
  <si>
    <t xml:space="preserve">Studi/Proyek Independen </t>
  </si>
  <si>
    <t xml:space="preserve">Pilih Salah Satu, Total SKS </t>
  </si>
  <si>
    <t>Semester VII Regular</t>
  </si>
  <si>
    <t>Analisis Big Data</t>
  </si>
  <si>
    <t>Matematika Diskrit</t>
  </si>
  <si>
    <t>Interaksi Manusia dan Komputer</t>
  </si>
  <si>
    <t>Statistik</t>
  </si>
  <si>
    <t>Seminar Hasil</t>
  </si>
  <si>
    <t>Persen</t>
  </si>
  <si>
    <t>SKS</t>
  </si>
  <si>
    <t>Tabel Sebaran Mata Kuliah Pilihan Persemester</t>
  </si>
  <si>
    <t>Mata Kuliah</t>
  </si>
  <si>
    <t>Praktek</t>
  </si>
  <si>
    <t>V</t>
  </si>
  <si>
    <t>Multimedia</t>
  </si>
  <si>
    <t>VI</t>
  </si>
  <si>
    <t>Managemen Strategik</t>
  </si>
  <si>
    <t>Pemrograman Aplikasi Mobile</t>
  </si>
  <si>
    <t>VII</t>
  </si>
  <si>
    <t>Internet of Things</t>
  </si>
  <si>
    <t xml:space="preserve">VII </t>
  </si>
  <si>
    <t>Busisines Problem &amp; DS Solution</t>
  </si>
  <si>
    <t>Dosen Pengampu</t>
  </si>
  <si>
    <t>Siti Fatmah, S.Pdi.,M.Si.,M.Pd</t>
  </si>
  <si>
    <t>DAFTAR DOSEN PENGAMPU PRODI TEKNOLOGI INFORMASI SEMESTER I</t>
  </si>
  <si>
    <r>
      <rPr>
        <sz val="12"/>
        <color theme="1"/>
        <rFont val="Times New Roman"/>
        <family val="1"/>
      </rPr>
      <t xml:space="preserve">Dr. Hj. St. Kuraedah, </t>
    </r>
    <r>
      <rPr>
        <u/>
        <sz val="12"/>
        <color theme="1"/>
        <rFont val="Times New Roman"/>
        <family val="1"/>
      </rPr>
      <t>M.Ag</t>
    </r>
    <r>
      <rPr>
        <sz val="12"/>
        <color theme="1"/>
        <rFont val="Times New Roman"/>
        <family val="1"/>
      </rPr>
      <t xml:space="preserve">.
Dra. Marlina Gazali, M.Pd.I
Nur Azaliah, S.Pd., M.Pd. </t>
    </r>
  </si>
  <si>
    <t>Syaiful Bachri M., M.Cs
Muhammad Atnang, S.Kom., M.Kom</t>
  </si>
  <si>
    <t>Muhammad Atnang, S.Kom., M.Kom</t>
  </si>
  <si>
    <t>Venia Oktafiani, S.KM., M.Sc
Isna Humaera, S.Pd.,S.Ag.,M.Pd</t>
  </si>
  <si>
    <t>Syaiful Bachri M., M.Cs</t>
  </si>
  <si>
    <t>Suci Dwi Yanti,SKM.,M.Kes
La Ode Muhammad Ady Ardyawan, S.Kep.,Ns., M.Kes</t>
  </si>
  <si>
    <t>20 SKS</t>
  </si>
  <si>
    <t>AIK II (Ibadah dan Muamalah)</t>
  </si>
  <si>
    <t>INS2102</t>
  </si>
  <si>
    <t>INS2105</t>
  </si>
  <si>
    <t>NAS2103</t>
  </si>
  <si>
    <t>Bahasa Inggris Sains</t>
  </si>
  <si>
    <t>TIN</t>
  </si>
  <si>
    <t>INS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</si>
  <si>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</si>
  <si>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</si>
  <si>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</si>
  <si>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</si>
  <si>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</si>
  <si>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</si>
  <si>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</si>
  <si>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</si>
  <si>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</si>
  <si>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E</t>
  </si>
  <si>
    <t>D+</t>
  </si>
  <si>
    <t>Nilai Huruf</t>
  </si>
  <si>
    <t xml:space="preserve">Poin / Persentase </t>
  </si>
  <si>
    <t xml:space="preserve">Nilai Angka </t>
  </si>
  <si>
    <t>&lt; 50</t>
  </si>
  <si>
    <t>Jaringan Komputer</t>
  </si>
  <si>
    <t>Pemograman Web Lanjut</t>
  </si>
  <si>
    <t xml:space="preserve"> </t>
  </si>
  <si>
    <t>Pemrograman Berorientasi Objek</t>
  </si>
  <si>
    <t>Pemrograman Web Dasar</t>
  </si>
  <si>
    <t>TIN4125</t>
  </si>
  <si>
    <t>Pengatar Kecerdasan Buatan</t>
  </si>
  <si>
    <t>Embedded Sistem</t>
  </si>
  <si>
    <t>TIN4121</t>
  </si>
  <si>
    <t>TIN4123</t>
  </si>
  <si>
    <t>TIN5123</t>
  </si>
  <si>
    <t>TKI5117</t>
  </si>
  <si>
    <t xml:space="preserve">Manajemen Profesional </t>
  </si>
  <si>
    <t>Etika TI</t>
  </si>
  <si>
    <t>Keamanan Siber</t>
  </si>
  <si>
    <t>UX Design</t>
  </si>
  <si>
    <t>Teknologi Sistem Terintegrasi</t>
  </si>
  <si>
    <t>Perancangan dan Integrasi Sistem</t>
  </si>
  <si>
    <t>Arsitektur Sistem</t>
  </si>
  <si>
    <t>Sistem Basis Data Lanjut</t>
  </si>
  <si>
    <t>Jaringan Komputer 2</t>
  </si>
  <si>
    <t>Etika Teknologi Informasi</t>
  </si>
  <si>
    <t>Cloud Computing</t>
  </si>
  <si>
    <t>Manajemen Proyek Perangkat Lunak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</si>
</sst>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2"/>
      <color theme="1"/>
      <name val="Times New Roman"/>
      <family val="1"/>
    </font>
    <font>
      <sz val="11"/>
      <color rgb="FF000000"/>
      <name val="Roboto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0" xfId="0" applyFont="1"/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wrapText="1"/>
    </xf>
    <xf numFmtId="0" fontId="5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5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/>
    <xf numFmtId="0" fontId="9" fillId="0" borderId="0" xfId="0" applyFont="1"/>
    <xf numFmtId="164" fontId="8" fillId="0" borderId="0" xfId="0" applyNumberFormat="1" applyFont="1"/>
    <xf numFmtId="0" fontId="8" fillId="0" borderId="0" xfId="0" applyFont="1"/>
    <xf numFmtId="0" fontId="5" fillId="0" borderId="0" xfId="0" applyFont="1"/>
    <xf numFmtId="0" fontId="10" fillId="0" borderId="0" xfId="0" applyFont="1"/>
    <xf numFmtId="0" fontId="5" fillId="0" borderId="0" xfId="0" applyFont="1" applyAlignment="1">
      <alignment horizontal="center" vertical="center"/>
    </xf>
    <xf numFmtId="0" fontId="8" fillId="0" borderId="5" xfId="0" applyFont="1" applyBorder="1"/>
    <xf numFmtId="0" fontId="5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right" vertical="center" wrapText="1"/>
    </xf>
    <xf numFmtId="0" fontId="12" fillId="4" borderId="0" xfId="0" applyFont="1" applyFill="1"/>
    <xf numFmtId="0" fontId="8" fillId="0" borderId="5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0" xfId="0" applyBorder="1"/>
    <xf numFmtId="2" fontId="0" fillId="0" borderId="0" xfId="0" applyNumberFormat="1"/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2" fontId="1" fillId="0" borderId="0" xfId="0" applyNumberFormat="1" applyFont="1"/>
    <xf numFmtId="0" fontId="5" fillId="0" borderId="1" xfId="0" applyFont="1" applyBorder="1"/>
    <xf numFmtId="0" fontId="5" fillId="5" borderId="5" xfId="0" applyFont="1" applyFill="1" applyBorder="1"/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5" fillId="6" borderId="5" xfId="0" applyFont="1" applyFill="1" applyBorder="1" applyAlignment="1">
      <alignment horizontal="center" vertical="center"/>
    </xf>
    <xf numFmtId="0" fontId="5" fillId="6" borderId="5" xfId="0" applyFont="1" applyFill="1" applyBorder="1"/>
    <xf numFmtId="0" fontId="5" fillId="6" borderId="5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 vertical="center"/>
    </xf>
    <xf numFmtId="0" fontId="5" fillId="7" borderId="5" xfId="0" applyFont="1" applyFill="1" applyBorder="1"/>
    <xf numFmtId="0" fontId="5" fillId="7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 vertical="center"/>
    </xf>
    <xf numFmtId="0" fontId="5" fillId="8" borderId="5" xfId="0" applyFont="1" applyFill="1" applyBorder="1"/>
    <xf numFmtId="0" fontId="5" fillId="8" borderId="5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 vertical="center"/>
    </xf>
    <xf numFmtId="0" fontId="5" fillId="9" borderId="5" xfId="0" applyFont="1" applyFill="1" applyBorder="1"/>
    <xf numFmtId="0" fontId="5" fillId="9" borderId="5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center"/>
    </xf>
    <xf numFmtId="0" fontId="5" fillId="8" borderId="10" xfId="0" applyFont="1" applyFill="1" applyBorder="1"/>
    <xf numFmtId="0" fontId="5" fillId="8" borderId="10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6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3" fillId="0" borderId="7" xfId="0" applyFont="1" applyBorder="1"/>
    <xf numFmtId="0" fontId="5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.ag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7B35-CE51-1E46-88B9-03D1F8F6A5D5}">
  <dimension ref="A2:M1001"/>
  <sheetViews>
    <sheetView tabSelected="1" topLeftCell="A81" zoomScale="160" zoomScaleNormal="160" workbookViewId="0">
      <selection activeCell="M21" sqref="M21"/>
    </sheetView>
  </sheetViews>
  <sheetFormatPr baseColWidth="10" defaultColWidth="14.5" defaultRowHeight="15" customHeight="1" x14ac:dyDescent="0.2"/>
  <cols>
    <col min="1" max="1" width="8.6640625" customWidth="1"/>
    <col min="2" max="2" width="10" customWidth="1"/>
    <col min="3" max="3" width="16.83203125" customWidth="1"/>
    <col min="4" max="4" width="7.1640625" customWidth="1"/>
    <col min="5" max="5" width="8.33203125" customWidth="1"/>
    <col min="6" max="6" width="36.33203125" customWidth="1"/>
    <col min="7" max="19" width="8.6640625" customWidth="1"/>
  </cols>
  <sheetData>
    <row r="2" spans="2:11" ht="19" x14ac:dyDescent="0.25">
      <c r="B2" s="84" t="s">
        <v>29</v>
      </c>
      <c r="C2" s="76"/>
      <c r="D2" s="76"/>
      <c r="E2" s="76"/>
      <c r="F2" s="76"/>
      <c r="G2" s="76"/>
      <c r="H2" s="76"/>
      <c r="I2" s="76"/>
    </row>
    <row r="4" spans="2:11" ht="16" x14ac:dyDescent="0.2">
      <c r="B4" s="77" t="s">
        <v>0</v>
      </c>
      <c r="C4" s="77" t="s">
        <v>30</v>
      </c>
      <c r="D4" s="1"/>
      <c r="E4" s="1"/>
      <c r="F4" s="77" t="s">
        <v>1</v>
      </c>
      <c r="G4" s="83" t="s">
        <v>2</v>
      </c>
      <c r="H4" s="73"/>
      <c r="I4" s="77" t="s">
        <v>3</v>
      </c>
    </row>
    <row r="5" spans="2:11" ht="16" x14ac:dyDescent="0.2">
      <c r="B5" s="70"/>
      <c r="C5" s="70"/>
      <c r="D5" s="2"/>
      <c r="E5" s="2"/>
      <c r="F5" s="70"/>
      <c r="G5" s="3" t="s">
        <v>4</v>
      </c>
      <c r="H5" s="3" t="s">
        <v>5</v>
      </c>
      <c r="I5" s="70"/>
    </row>
    <row r="6" spans="2:11" ht="16" x14ac:dyDescent="0.2">
      <c r="B6" s="68">
        <v>1</v>
      </c>
      <c r="C6" s="5" t="s">
        <v>31</v>
      </c>
      <c r="D6" s="5" t="s">
        <v>32</v>
      </c>
      <c r="E6" s="5">
        <v>1</v>
      </c>
      <c r="F6" s="6" t="s">
        <v>6</v>
      </c>
      <c r="G6" s="7">
        <v>2</v>
      </c>
      <c r="H6" s="7">
        <v>0</v>
      </c>
      <c r="I6" s="7"/>
    </row>
    <row r="7" spans="2:11" ht="16" x14ac:dyDescent="0.2">
      <c r="B7" s="69"/>
      <c r="C7" s="5" t="str">
        <f t="shared" ref="C7:C14" si="0">D7&amp;$B$6&amp;"0"&amp;E7</f>
        <v>TKI101</v>
      </c>
      <c r="D7" s="5" t="s">
        <v>33</v>
      </c>
      <c r="E7" s="5">
        <v>1</v>
      </c>
      <c r="F7" s="6" t="s">
        <v>34</v>
      </c>
      <c r="G7" s="7">
        <v>2</v>
      </c>
      <c r="H7" s="7">
        <v>0</v>
      </c>
      <c r="I7" s="7" t="s">
        <v>35</v>
      </c>
    </row>
    <row r="8" spans="2:11" ht="16" x14ac:dyDescent="0.2">
      <c r="B8" s="69"/>
      <c r="C8" s="5" t="str">
        <f t="shared" si="0"/>
        <v>TKI102</v>
      </c>
      <c r="D8" s="5" t="s">
        <v>33</v>
      </c>
      <c r="E8" s="5">
        <v>2</v>
      </c>
      <c r="F8" s="6" t="s">
        <v>36</v>
      </c>
      <c r="G8" s="7">
        <v>2</v>
      </c>
      <c r="H8" s="7">
        <v>2</v>
      </c>
      <c r="I8" s="7" t="s">
        <v>35</v>
      </c>
    </row>
    <row r="9" spans="2:11" ht="16" x14ac:dyDescent="0.2">
      <c r="B9" s="69"/>
      <c r="C9" s="5" t="str">
        <f t="shared" si="0"/>
        <v>ISA104</v>
      </c>
      <c r="D9" s="5" t="s">
        <v>32</v>
      </c>
      <c r="E9" s="5">
        <v>4</v>
      </c>
      <c r="F9" s="6" t="s">
        <v>37</v>
      </c>
      <c r="G9" s="7">
        <v>2</v>
      </c>
      <c r="H9" s="7">
        <v>0</v>
      </c>
      <c r="I9" s="7"/>
    </row>
    <row r="10" spans="2:11" ht="16" x14ac:dyDescent="0.2">
      <c r="B10" s="69"/>
      <c r="C10" s="5" t="str">
        <f t="shared" si="0"/>
        <v>TKI103</v>
      </c>
      <c r="D10" s="5" t="s">
        <v>33</v>
      </c>
      <c r="E10" s="5">
        <v>3</v>
      </c>
      <c r="F10" s="6" t="s">
        <v>38</v>
      </c>
      <c r="G10" s="7">
        <v>2</v>
      </c>
      <c r="H10" s="7">
        <v>0</v>
      </c>
      <c r="I10" s="7" t="s">
        <v>35</v>
      </c>
    </row>
    <row r="11" spans="2:11" ht="16" x14ac:dyDescent="0.2">
      <c r="B11" s="69"/>
      <c r="C11" s="5" t="str">
        <f t="shared" si="0"/>
        <v>TKI104</v>
      </c>
      <c r="D11" s="5" t="s">
        <v>33</v>
      </c>
      <c r="E11" s="5">
        <v>4</v>
      </c>
      <c r="F11" s="6" t="s">
        <v>39</v>
      </c>
      <c r="G11" s="7">
        <v>2</v>
      </c>
      <c r="H11" s="7">
        <v>0</v>
      </c>
      <c r="I11" s="7"/>
    </row>
    <row r="12" spans="2:11" ht="16" x14ac:dyDescent="0.2">
      <c r="B12" s="69"/>
      <c r="C12" s="5" t="str">
        <f t="shared" si="0"/>
        <v>TKI105</v>
      </c>
      <c r="D12" s="5" t="s">
        <v>33</v>
      </c>
      <c r="E12" s="5">
        <v>5</v>
      </c>
      <c r="F12" s="6" t="s">
        <v>40</v>
      </c>
      <c r="G12" s="7">
        <v>2</v>
      </c>
      <c r="H12" s="7">
        <v>0</v>
      </c>
      <c r="I12" s="7"/>
    </row>
    <row r="13" spans="2:11" ht="16" x14ac:dyDescent="0.2">
      <c r="B13" s="69"/>
      <c r="C13" s="5" t="str">
        <f t="shared" si="0"/>
        <v>ISA103</v>
      </c>
      <c r="D13" s="5" t="s">
        <v>32</v>
      </c>
      <c r="E13" s="5">
        <v>3</v>
      </c>
      <c r="F13" s="6" t="s">
        <v>8</v>
      </c>
      <c r="G13" s="7">
        <v>2</v>
      </c>
      <c r="H13" s="7">
        <v>0</v>
      </c>
      <c r="I13" s="7"/>
    </row>
    <row r="14" spans="2:11" ht="16" x14ac:dyDescent="0.2">
      <c r="B14" s="69"/>
      <c r="C14" s="5" t="str">
        <f t="shared" si="0"/>
        <v>ISA102</v>
      </c>
      <c r="D14" s="5" t="s">
        <v>32</v>
      </c>
      <c r="E14" s="5">
        <v>2</v>
      </c>
      <c r="F14" s="6" t="s">
        <v>7</v>
      </c>
      <c r="G14" s="7">
        <v>2</v>
      </c>
      <c r="H14" s="7">
        <v>0</v>
      </c>
      <c r="I14" s="7"/>
    </row>
    <row r="15" spans="2:11" ht="16" x14ac:dyDescent="0.2">
      <c r="B15" s="69"/>
      <c r="C15" s="5"/>
      <c r="D15" s="5"/>
      <c r="E15" s="5"/>
      <c r="F15" s="77" t="s">
        <v>9</v>
      </c>
      <c r="G15" s="8">
        <f t="shared" ref="G15:H15" si="1">SUM(G6:G14)</f>
        <v>18</v>
      </c>
      <c r="H15" s="8">
        <f t="shared" si="1"/>
        <v>2</v>
      </c>
      <c r="I15" s="7"/>
    </row>
    <row r="16" spans="2:11" ht="16" x14ac:dyDescent="0.2">
      <c r="B16" s="70"/>
      <c r="C16" s="5"/>
      <c r="D16" s="5"/>
      <c r="E16" s="5"/>
      <c r="F16" s="70"/>
      <c r="G16" s="72">
        <f>SUM(G15:H15)</f>
        <v>20</v>
      </c>
      <c r="H16" s="73"/>
      <c r="I16" s="7"/>
      <c r="J16" s="9">
        <f>G16</f>
        <v>20</v>
      </c>
      <c r="K16">
        <v>9</v>
      </c>
    </row>
    <row r="17" spans="2:11" ht="16" x14ac:dyDescent="0.2">
      <c r="B17" s="68">
        <v>2</v>
      </c>
      <c r="C17" s="5" t="s">
        <v>94</v>
      </c>
      <c r="D17" s="5" t="s">
        <v>99</v>
      </c>
      <c r="E17" s="5">
        <v>2</v>
      </c>
      <c r="F17" s="6" t="s">
        <v>93</v>
      </c>
      <c r="G17" s="5">
        <v>1</v>
      </c>
      <c r="H17" s="5">
        <v>1</v>
      </c>
      <c r="I17" s="36"/>
    </row>
    <row r="18" spans="2:11" ht="16" x14ac:dyDescent="0.2">
      <c r="B18" s="69"/>
      <c r="C18" s="5" t="str">
        <f>D18&amp;$B$17&amp;"1"&amp;"0"&amp;E18</f>
        <v>TIN2106</v>
      </c>
      <c r="D18" s="5" t="s">
        <v>98</v>
      </c>
      <c r="E18" s="5">
        <v>6</v>
      </c>
      <c r="F18" s="6" t="s">
        <v>47</v>
      </c>
      <c r="G18" s="7">
        <v>0</v>
      </c>
      <c r="H18" s="17">
        <v>2</v>
      </c>
      <c r="I18" s="38"/>
    </row>
    <row r="19" spans="2:11" ht="16" x14ac:dyDescent="0.2">
      <c r="B19" s="69"/>
      <c r="C19" s="5" t="str">
        <f>D19&amp;$B$17&amp;"1"&amp;"0"&amp;E19</f>
        <v>TIN2108</v>
      </c>
      <c r="D19" s="5" t="s">
        <v>98</v>
      </c>
      <c r="E19" s="5">
        <v>8</v>
      </c>
      <c r="F19" s="6" t="s">
        <v>51</v>
      </c>
      <c r="G19" s="5">
        <v>2</v>
      </c>
      <c r="H19" s="5">
        <v>2</v>
      </c>
      <c r="I19" s="37"/>
    </row>
    <row r="20" spans="2:11" ht="16" x14ac:dyDescent="0.2">
      <c r="B20" s="69"/>
      <c r="C20" s="5" t="str">
        <f t="shared" ref="C20" si="2">D20&amp;$B$17&amp;"1"&amp;"0"&amp;E20</f>
        <v>TIN2109</v>
      </c>
      <c r="D20" s="5" t="s">
        <v>98</v>
      </c>
      <c r="E20" s="5">
        <v>9</v>
      </c>
      <c r="F20" s="6" t="s">
        <v>97</v>
      </c>
      <c r="G20" s="5">
        <v>2</v>
      </c>
      <c r="H20" s="5">
        <v>0</v>
      </c>
      <c r="I20" s="7"/>
    </row>
    <row r="21" spans="2:11" ht="15.75" customHeight="1" x14ac:dyDescent="0.2">
      <c r="B21" s="69"/>
      <c r="C21" s="5" t="str">
        <f>D21&amp;$B$17&amp;"1"&amp;"0"&amp;E21</f>
        <v>TIN2107</v>
      </c>
      <c r="D21" s="5" t="s">
        <v>98</v>
      </c>
      <c r="E21" s="5">
        <v>7</v>
      </c>
      <c r="F21" s="6" t="s">
        <v>42</v>
      </c>
      <c r="G21" s="5">
        <v>2</v>
      </c>
      <c r="H21" s="5">
        <v>0</v>
      </c>
      <c r="I21" s="7" t="s">
        <v>35</v>
      </c>
    </row>
    <row r="22" spans="2:11" ht="15.75" customHeight="1" x14ac:dyDescent="0.2">
      <c r="B22" s="69"/>
      <c r="C22" s="5" t="str">
        <f>D22&amp;$B$17&amp;"1"&amp;""&amp;E22</f>
        <v>TIN2111</v>
      </c>
      <c r="D22" s="5" t="s">
        <v>98</v>
      </c>
      <c r="E22" s="5">
        <v>11</v>
      </c>
      <c r="F22" s="6" t="s">
        <v>43</v>
      </c>
      <c r="G22" s="5">
        <v>2</v>
      </c>
      <c r="H22" s="5">
        <v>2</v>
      </c>
      <c r="I22" s="7" t="s">
        <v>35</v>
      </c>
    </row>
    <row r="23" spans="2:11" ht="15.75" customHeight="1" x14ac:dyDescent="0.2">
      <c r="B23" s="69"/>
      <c r="C23" s="5" t="str">
        <f>D23&amp;$B$17&amp;"1"&amp;E23</f>
        <v>TIN2110</v>
      </c>
      <c r="D23" s="5" t="s">
        <v>98</v>
      </c>
      <c r="E23" s="5">
        <v>10</v>
      </c>
      <c r="F23" s="6" t="s">
        <v>46</v>
      </c>
      <c r="G23" s="7">
        <v>2</v>
      </c>
      <c r="H23" s="7">
        <v>0</v>
      </c>
      <c r="I23" s="7"/>
    </row>
    <row r="24" spans="2:11" ht="15.75" customHeight="1" x14ac:dyDescent="0.2">
      <c r="B24" s="69"/>
      <c r="C24" s="5" t="s">
        <v>95</v>
      </c>
      <c r="D24" s="5" t="s">
        <v>32</v>
      </c>
      <c r="E24" s="5"/>
      <c r="F24" s="6" t="s">
        <v>48</v>
      </c>
      <c r="G24" s="7">
        <v>2</v>
      </c>
      <c r="H24" s="7">
        <v>0</v>
      </c>
      <c r="I24" s="7"/>
    </row>
    <row r="25" spans="2:11" ht="15.75" customHeight="1" x14ac:dyDescent="0.2">
      <c r="B25" s="69"/>
      <c r="C25" s="5" t="s">
        <v>96</v>
      </c>
      <c r="D25" s="5" t="s">
        <v>32</v>
      </c>
      <c r="E25" s="5"/>
      <c r="F25" s="6" t="s">
        <v>11</v>
      </c>
      <c r="G25" s="5">
        <v>2</v>
      </c>
      <c r="H25" s="5">
        <v>0</v>
      </c>
      <c r="I25" s="7"/>
      <c r="K25">
        <v>9</v>
      </c>
    </row>
    <row r="26" spans="2:11" ht="15.75" customHeight="1" x14ac:dyDescent="0.2">
      <c r="B26" s="69"/>
      <c r="C26" s="5"/>
      <c r="D26" s="5"/>
      <c r="E26" s="5"/>
      <c r="F26" s="77" t="s">
        <v>9</v>
      </c>
      <c r="G26" s="10">
        <f>SUM(G17:G25)</f>
        <v>15</v>
      </c>
      <c r="H26" s="10">
        <f>SUM(H17:H25)</f>
        <v>7</v>
      </c>
      <c r="I26" s="7"/>
    </row>
    <row r="27" spans="2:11" ht="14.25" customHeight="1" x14ac:dyDescent="0.2">
      <c r="B27" s="70"/>
      <c r="C27" s="5"/>
      <c r="D27" s="5"/>
      <c r="E27" s="5"/>
      <c r="F27" s="70"/>
      <c r="G27" s="72">
        <f>G26+H26</f>
        <v>22</v>
      </c>
      <c r="H27" s="73"/>
      <c r="I27" s="7"/>
      <c r="J27" s="9">
        <f>G27</f>
        <v>22</v>
      </c>
    </row>
    <row r="28" spans="2:11" ht="15.75" customHeight="1" x14ac:dyDescent="0.2">
      <c r="B28" s="68">
        <v>3</v>
      </c>
      <c r="C28" s="5" t="str">
        <f t="shared" ref="C28:C32" si="3">D28&amp;B$28&amp;E28</f>
        <v>ISA3</v>
      </c>
      <c r="D28" s="5" t="s">
        <v>32</v>
      </c>
      <c r="E28" s="5"/>
      <c r="F28" s="6" t="s">
        <v>12</v>
      </c>
      <c r="G28" s="7">
        <v>2</v>
      </c>
      <c r="H28" s="7">
        <v>0</v>
      </c>
      <c r="I28" s="7"/>
    </row>
    <row r="29" spans="2:11" ht="15.75" customHeight="1" x14ac:dyDescent="0.2">
      <c r="B29" s="69"/>
      <c r="C29" s="5" t="str">
        <f t="shared" si="3"/>
        <v>TKI311</v>
      </c>
      <c r="D29" s="5" t="s">
        <v>33</v>
      </c>
      <c r="E29" s="5">
        <v>11</v>
      </c>
      <c r="F29" s="6" t="s">
        <v>115</v>
      </c>
      <c r="G29" s="7">
        <v>2</v>
      </c>
      <c r="H29" s="7">
        <v>2</v>
      </c>
      <c r="I29" s="7"/>
    </row>
    <row r="30" spans="2:11" ht="15.75" customHeight="1" x14ac:dyDescent="0.2">
      <c r="B30" s="69"/>
      <c r="C30" s="5" t="str">
        <f t="shared" si="3"/>
        <v>TKI312</v>
      </c>
      <c r="D30" s="5" t="s">
        <v>33</v>
      </c>
      <c r="E30" s="5">
        <v>12</v>
      </c>
      <c r="F30" s="6" t="s">
        <v>118</v>
      </c>
      <c r="G30" s="7">
        <v>2</v>
      </c>
      <c r="H30" s="7">
        <v>2</v>
      </c>
      <c r="I30" s="7"/>
    </row>
    <row r="31" spans="2:11" ht="15.75" customHeight="1" x14ac:dyDescent="0.2">
      <c r="B31" s="69"/>
      <c r="C31" s="5" t="str">
        <f t="shared" si="3"/>
        <v>TKI313</v>
      </c>
      <c r="D31" s="5" t="s">
        <v>33</v>
      </c>
      <c r="E31" s="5">
        <v>13</v>
      </c>
      <c r="F31" s="6" t="s">
        <v>119</v>
      </c>
      <c r="G31" s="7">
        <v>2</v>
      </c>
      <c r="H31" s="7">
        <v>2</v>
      </c>
      <c r="I31" s="7"/>
    </row>
    <row r="32" spans="2:11" ht="15.75" customHeight="1" x14ac:dyDescent="0.2">
      <c r="B32" s="69"/>
      <c r="C32" s="5" t="str">
        <f t="shared" si="3"/>
        <v>TKI314</v>
      </c>
      <c r="D32" s="5" t="s">
        <v>33</v>
      </c>
      <c r="E32" s="5">
        <v>14</v>
      </c>
      <c r="F32" s="6" t="s">
        <v>45</v>
      </c>
      <c r="G32" s="7">
        <v>2</v>
      </c>
      <c r="H32" s="7">
        <v>0</v>
      </c>
      <c r="I32" s="7"/>
    </row>
    <row r="33" spans="2:11" ht="15.75" customHeight="1" x14ac:dyDescent="0.2">
      <c r="B33" s="69"/>
      <c r="C33" s="5" t="str">
        <f>D33&amp;$B$17&amp;"0"&amp;E33</f>
        <v>TKI206</v>
      </c>
      <c r="D33" s="5" t="s">
        <v>33</v>
      </c>
      <c r="E33" s="5">
        <v>6</v>
      </c>
      <c r="F33" s="6" t="s">
        <v>41</v>
      </c>
      <c r="G33" s="5">
        <v>0</v>
      </c>
      <c r="H33" s="5">
        <v>2</v>
      </c>
      <c r="I33" s="7"/>
    </row>
    <row r="34" spans="2:11" ht="15.75" customHeight="1" x14ac:dyDescent="0.2">
      <c r="B34" s="69"/>
      <c r="C34" s="5" t="str">
        <f>D34&amp;$B$17&amp;"0"&amp;E34</f>
        <v>TKI2010</v>
      </c>
      <c r="D34" s="5" t="s">
        <v>33</v>
      </c>
      <c r="E34" s="5">
        <v>10</v>
      </c>
      <c r="F34" s="6" t="s">
        <v>44</v>
      </c>
      <c r="G34" s="5">
        <v>2</v>
      </c>
      <c r="H34" s="5">
        <v>0</v>
      </c>
      <c r="I34" s="7"/>
    </row>
    <row r="35" spans="2:11" ht="15.75" customHeight="1" x14ac:dyDescent="0.2">
      <c r="B35" s="69"/>
      <c r="C35" s="5" t="str">
        <f>D25&amp;B$38&amp;E25</f>
        <v>ISA4</v>
      </c>
      <c r="D35" s="5" t="s">
        <v>33</v>
      </c>
      <c r="E35" s="5">
        <v>18</v>
      </c>
      <c r="F35" s="47" t="s">
        <v>50</v>
      </c>
      <c r="G35" s="48">
        <v>2</v>
      </c>
      <c r="I35" s="7"/>
    </row>
    <row r="36" spans="2:11" ht="15.75" customHeight="1" x14ac:dyDescent="0.2">
      <c r="B36" s="69"/>
      <c r="C36" s="5"/>
      <c r="D36" s="5"/>
      <c r="E36" s="5"/>
      <c r="F36" s="77" t="s">
        <v>9</v>
      </c>
      <c r="G36" s="8">
        <f>SUM(G28:G35)</f>
        <v>14</v>
      </c>
      <c r="H36" s="8">
        <f>SUM(H28:H35)</f>
        <v>8</v>
      </c>
      <c r="I36" s="7"/>
      <c r="K36">
        <v>9</v>
      </c>
    </row>
    <row r="37" spans="2:11" ht="15.75" customHeight="1" x14ac:dyDescent="0.2">
      <c r="B37" s="70"/>
      <c r="C37" s="5"/>
      <c r="D37" s="5"/>
      <c r="E37" s="5"/>
      <c r="F37" s="70"/>
      <c r="G37" s="72">
        <f>SUM(G36:H36)</f>
        <v>22</v>
      </c>
      <c r="H37" s="73"/>
      <c r="I37" s="7"/>
    </row>
    <row r="38" spans="2:11" ht="15.75" customHeight="1" x14ac:dyDescent="0.2">
      <c r="B38" s="68">
        <v>4</v>
      </c>
      <c r="C38" s="5" t="str">
        <f>D28&amp;B$38&amp;E28</f>
        <v>ISA4</v>
      </c>
      <c r="D38" s="5" t="s">
        <v>32</v>
      </c>
      <c r="E38" s="5"/>
      <c r="F38" s="6" t="s">
        <v>13</v>
      </c>
      <c r="G38" s="5">
        <v>2</v>
      </c>
      <c r="H38" s="5">
        <v>0</v>
      </c>
      <c r="I38" s="7"/>
    </row>
    <row r="39" spans="2:11" ht="15.75" customHeight="1" x14ac:dyDescent="0.2">
      <c r="B39" s="69"/>
      <c r="C39" s="5" t="str">
        <f>D29&amp;B$38&amp;E29</f>
        <v>TKI411</v>
      </c>
      <c r="D39" s="5" t="s">
        <v>33</v>
      </c>
      <c r="E39" s="5">
        <v>17</v>
      </c>
      <c r="F39" s="6" t="s">
        <v>66</v>
      </c>
      <c r="G39" s="5">
        <v>2</v>
      </c>
      <c r="H39" s="5">
        <v>0</v>
      </c>
      <c r="I39" s="7"/>
    </row>
    <row r="40" spans="2:11" ht="15.75" customHeight="1" x14ac:dyDescent="0.2">
      <c r="B40" s="69"/>
      <c r="C40" s="5" t="s">
        <v>123</v>
      </c>
      <c r="D40" s="5"/>
      <c r="E40" s="5"/>
      <c r="F40" s="6" t="s">
        <v>121</v>
      </c>
      <c r="G40" s="5">
        <v>2</v>
      </c>
      <c r="H40" s="5">
        <v>0</v>
      </c>
      <c r="I40" s="7"/>
    </row>
    <row r="41" spans="2:11" ht="15.75" customHeight="1" x14ac:dyDescent="0.2">
      <c r="B41" s="69"/>
      <c r="C41" s="5" t="str">
        <f>D31&amp;B$38&amp;E31</f>
        <v>TKI413</v>
      </c>
      <c r="D41" s="5" t="s">
        <v>33</v>
      </c>
      <c r="E41" s="5">
        <v>19</v>
      </c>
      <c r="F41" s="6" t="s">
        <v>122</v>
      </c>
      <c r="G41" s="5">
        <v>2</v>
      </c>
      <c r="H41" s="5">
        <v>0</v>
      </c>
      <c r="I41" s="7"/>
    </row>
    <row r="42" spans="2:11" ht="15.75" customHeight="1" x14ac:dyDescent="0.2">
      <c r="B42" s="69"/>
      <c r="C42" s="5" t="str">
        <f>D32&amp;B$38&amp;E32</f>
        <v>TKI414</v>
      </c>
      <c r="D42" s="5" t="s">
        <v>33</v>
      </c>
      <c r="E42" s="5">
        <v>20</v>
      </c>
      <c r="F42" s="6" t="s">
        <v>10</v>
      </c>
      <c r="G42" s="5">
        <v>2</v>
      </c>
      <c r="H42" s="5">
        <v>0</v>
      </c>
      <c r="I42" s="7" t="s">
        <v>35</v>
      </c>
    </row>
    <row r="43" spans="2:11" ht="15.75" customHeight="1" x14ac:dyDescent="0.2">
      <c r="B43" s="69"/>
      <c r="C43" s="5" t="s">
        <v>124</v>
      </c>
      <c r="D43" s="5" t="s">
        <v>33</v>
      </c>
      <c r="E43" s="5">
        <v>22</v>
      </c>
      <c r="F43" s="6" t="s">
        <v>52</v>
      </c>
      <c r="G43" s="5">
        <v>2</v>
      </c>
      <c r="H43" s="5">
        <v>2</v>
      </c>
      <c r="I43" s="7" t="s">
        <v>35</v>
      </c>
    </row>
    <row r="44" spans="2:11" ht="15.75" customHeight="1" x14ac:dyDescent="0.2">
      <c r="B44" s="69"/>
      <c r="C44" s="5" t="str">
        <f>D35&amp;B$38&amp;E35</f>
        <v>TKI418</v>
      </c>
      <c r="D44" s="5" t="s">
        <v>33</v>
      </c>
      <c r="E44" s="4">
        <v>23</v>
      </c>
      <c r="F44" s="45" t="s">
        <v>116</v>
      </c>
      <c r="G44" s="5">
        <v>2</v>
      </c>
      <c r="H44" s="5">
        <v>2</v>
      </c>
      <c r="I44" s="7"/>
    </row>
    <row r="45" spans="2:11" ht="15.75" customHeight="1" x14ac:dyDescent="0.2">
      <c r="B45" s="69"/>
      <c r="C45" s="4" t="s">
        <v>120</v>
      </c>
      <c r="D45" s="4"/>
      <c r="E45" s="4"/>
      <c r="F45" s="45" t="s">
        <v>67</v>
      </c>
      <c r="G45" s="5">
        <v>2</v>
      </c>
      <c r="H45" s="5">
        <v>0</v>
      </c>
      <c r="I45" s="7"/>
    </row>
    <row r="46" spans="2:11" ht="15.75" customHeight="1" x14ac:dyDescent="0.2">
      <c r="B46" s="69"/>
      <c r="C46" s="4"/>
      <c r="D46" s="4"/>
      <c r="E46" s="4"/>
      <c r="F46" s="77" t="s">
        <v>9</v>
      </c>
      <c r="G46" s="10">
        <f>SUM(G38:G45)</f>
        <v>16</v>
      </c>
      <c r="H46" s="10">
        <f>SUM(H38:H45)</f>
        <v>4</v>
      </c>
      <c r="I46" s="7"/>
      <c r="K46">
        <v>8</v>
      </c>
    </row>
    <row r="47" spans="2:11" ht="15.75" customHeight="1" x14ac:dyDescent="0.2">
      <c r="B47" s="70"/>
      <c r="C47" s="11"/>
      <c r="D47" s="11"/>
      <c r="E47" s="11"/>
      <c r="F47" s="70"/>
      <c r="G47" s="83">
        <f>SUM(G46:H46)</f>
        <v>20</v>
      </c>
      <c r="H47" s="73"/>
      <c r="I47" s="7"/>
      <c r="J47" s="9">
        <f>G47</f>
        <v>20</v>
      </c>
    </row>
    <row r="48" spans="2:11" ht="15.75" customHeight="1" x14ac:dyDescent="0.2">
      <c r="B48" s="68">
        <v>5</v>
      </c>
      <c r="C48" s="4"/>
      <c r="D48" s="4"/>
      <c r="E48" s="4"/>
      <c r="F48" s="78" t="s">
        <v>14</v>
      </c>
      <c r="G48" s="79"/>
      <c r="H48" s="79"/>
      <c r="I48" s="73"/>
    </row>
    <row r="49" spans="2:11" ht="57" customHeight="1" x14ac:dyDescent="0.2">
      <c r="B49" s="69"/>
      <c r="C49" s="12"/>
      <c r="D49" s="12"/>
      <c r="E49" s="12"/>
      <c r="F49" s="82" t="s">
        <v>15</v>
      </c>
      <c r="G49" s="79"/>
      <c r="H49" s="79"/>
      <c r="I49" s="73"/>
    </row>
    <row r="50" spans="2:11" ht="15.75" customHeight="1" x14ac:dyDescent="0.2">
      <c r="B50" s="69"/>
      <c r="C50" s="12"/>
      <c r="D50" s="12"/>
      <c r="E50" s="12"/>
      <c r="F50" s="81" t="s">
        <v>53</v>
      </c>
      <c r="G50" s="79"/>
      <c r="H50" s="79"/>
      <c r="I50" s="73"/>
    </row>
    <row r="51" spans="2:11" ht="15.75" customHeight="1" x14ac:dyDescent="0.2">
      <c r="B51" s="69"/>
      <c r="C51" s="5" t="s">
        <v>125</v>
      </c>
      <c r="D51" s="12" t="s">
        <v>33</v>
      </c>
      <c r="E51" s="12">
        <v>23</v>
      </c>
      <c r="F51" s="6" t="s">
        <v>54</v>
      </c>
      <c r="G51" s="7">
        <v>2</v>
      </c>
      <c r="H51" s="7">
        <v>0</v>
      </c>
      <c r="I51" s="7"/>
    </row>
    <row r="52" spans="2:11" ht="15.75" customHeight="1" x14ac:dyDescent="0.2">
      <c r="B52" s="69"/>
      <c r="C52" s="5" t="str">
        <f>D42&amp;B$48&amp;E42</f>
        <v>TKI520</v>
      </c>
      <c r="D52" s="12" t="s">
        <v>33</v>
      </c>
      <c r="E52" s="12">
        <v>25</v>
      </c>
      <c r="F52" s="6" t="s">
        <v>64</v>
      </c>
      <c r="G52" s="7">
        <v>2</v>
      </c>
      <c r="H52" s="7">
        <v>0</v>
      </c>
      <c r="I52" s="7"/>
    </row>
    <row r="53" spans="2:11" ht="15.75" customHeight="1" x14ac:dyDescent="0.2">
      <c r="B53" s="69"/>
      <c r="C53" s="12" t="s">
        <v>126</v>
      </c>
      <c r="D53" s="12"/>
      <c r="E53" s="12"/>
      <c r="F53" s="6" t="s">
        <v>49</v>
      </c>
      <c r="G53" s="7">
        <v>2</v>
      </c>
      <c r="H53" s="7">
        <v>0</v>
      </c>
      <c r="I53" s="7"/>
    </row>
    <row r="54" spans="2:11" ht="15.75" customHeight="1" x14ac:dyDescent="0.2">
      <c r="B54" s="69"/>
      <c r="C54" s="12"/>
      <c r="D54" s="12"/>
      <c r="E54" s="12"/>
      <c r="I54" s="7"/>
      <c r="K54">
        <v>3</v>
      </c>
    </row>
    <row r="55" spans="2:11" ht="15.75" customHeight="1" x14ac:dyDescent="0.2">
      <c r="B55" s="69"/>
      <c r="C55" s="12"/>
      <c r="D55" s="12"/>
      <c r="E55" s="12"/>
      <c r="F55" s="13" t="s">
        <v>16</v>
      </c>
      <c r="G55" s="7">
        <v>2</v>
      </c>
      <c r="H55" s="7">
        <v>2</v>
      </c>
      <c r="I55" s="7"/>
    </row>
    <row r="56" spans="2:11" ht="15.75" customHeight="1" x14ac:dyDescent="0.2">
      <c r="B56" s="69"/>
      <c r="C56" s="12"/>
      <c r="D56" s="12"/>
      <c r="E56" s="12"/>
      <c r="F56" s="77" t="s">
        <v>9</v>
      </c>
      <c r="G56" s="8">
        <f>SUM(G51:G55)</f>
        <v>8</v>
      </c>
      <c r="H56" s="8">
        <f>SUM(H51:H55)</f>
        <v>2</v>
      </c>
      <c r="I56" s="7"/>
    </row>
    <row r="57" spans="2:11" ht="15.75" customHeight="1" x14ac:dyDescent="0.2">
      <c r="B57" s="70"/>
      <c r="C57" s="11"/>
      <c r="D57" s="11"/>
      <c r="E57" s="11"/>
      <c r="F57" s="70"/>
      <c r="G57" s="72">
        <f>G56+H56</f>
        <v>10</v>
      </c>
      <c r="H57" s="73"/>
      <c r="I57" s="7"/>
      <c r="J57" s="9">
        <f>G57</f>
        <v>10</v>
      </c>
    </row>
    <row r="58" spans="2:11" ht="15.75" customHeight="1" x14ac:dyDescent="0.2">
      <c r="B58" s="68">
        <v>6</v>
      </c>
      <c r="C58" s="14"/>
      <c r="D58" s="14"/>
      <c r="E58" s="14"/>
      <c r="F58" s="78" t="s">
        <v>17</v>
      </c>
      <c r="G58" s="79"/>
      <c r="H58" s="79"/>
      <c r="I58" s="73"/>
      <c r="J58" s="15"/>
    </row>
    <row r="59" spans="2:11" ht="15.75" customHeight="1" x14ac:dyDescent="0.2">
      <c r="B59" s="69"/>
      <c r="C59" s="5" t="str">
        <f t="shared" ref="C59:C67" si="4">D59&amp;B58&amp;E59</f>
        <v>TKI626</v>
      </c>
      <c r="D59" s="12" t="s">
        <v>33</v>
      </c>
      <c r="E59" s="12">
        <v>26</v>
      </c>
      <c r="F59" s="6" t="s">
        <v>18</v>
      </c>
      <c r="G59" s="7">
        <v>0</v>
      </c>
      <c r="H59" s="7">
        <v>20</v>
      </c>
      <c r="I59" s="7"/>
    </row>
    <row r="60" spans="2:11" ht="15.75" customHeight="1" x14ac:dyDescent="0.2">
      <c r="B60" s="69"/>
      <c r="C60" s="5" t="str">
        <f t="shared" si="4"/>
        <v>TKI27</v>
      </c>
      <c r="D60" s="12" t="s">
        <v>33</v>
      </c>
      <c r="E60" s="12">
        <v>27</v>
      </c>
      <c r="F60" s="6" t="s">
        <v>19</v>
      </c>
      <c r="G60" s="7">
        <v>0</v>
      </c>
      <c r="H60" s="7">
        <v>20</v>
      </c>
      <c r="I60" s="7"/>
    </row>
    <row r="61" spans="2:11" ht="15.75" customHeight="1" x14ac:dyDescent="0.2">
      <c r="B61" s="69"/>
      <c r="C61" s="5" t="str">
        <f t="shared" si="4"/>
        <v>TKI28</v>
      </c>
      <c r="D61" s="12" t="s">
        <v>33</v>
      </c>
      <c r="E61" s="12">
        <v>28</v>
      </c>
      <c r="F61" s="6" t="s">
        <v>20</v>
      </c>
      <c r="G61" s="7">
        <v>0</v>
      </c>
      <c r="H61" s="7">
        <v>20</v>
      </c>
      <c r="I61" s="7"/>
    </row>
    <row r="62" spans="2:11" ht="15.75" customHeight="1" x14ac:dyDescent="0.2">
      <c r="B62" s="69"/>
      <c r="C62" s="5" t="str">
        <f t="shared" si="4"/>
        <v>TKI29</v>
      </c>
      <c r="D62" s="12" t="s">
        <v>33</v>
      </c>
      <c r="E62" s="12">
        <v>29</v>
      </c>
      <c r="F62" s="6" t="s">
        <v>21</v>
      </c>
      <c r="G62" s="7">
        <v>0</v>
      </c>
      <c r="H62" s="7">
        <v>20</v>
      </c>
      <c r="I62" s="7"/>
    </row>
    <row r="63" spans="2:11" ht="15.75" customHeight="1" x14ac:dyDescent="0.2">
      <c r="B63" s="69"/>
      <c r="C63" s="5" t="str">
        <f t="shared" si="4"/>
        <v/>
      </c>
      <c r="D63" s="12"/>
      <c r="E63" s="12"/>
      <c r="F63" s="16" t="s">
        <v>22</v>
      </c>
      <c r="G63" s="80">
        <v>20</v>
      </c>
      <c r="H63" s="73"/>
      <c r="I63" s="7"/>
    </row>
    <row r="64" spans="2:11" ht="15.75" customHeight="1" x14ac:dyDescent="0.2">
      <c r="B64" s="69"/>
      <c r="C64" s="5" t="str">
        <f t="shared" si="4"/>
        <v/>
      </c>
      <c r="D64" s="18"/>
      <c r="E64" s="18"/>
      <c r="F64" s="81" t="s">
        <v>55</v>
      </c>
      <c r="G64" s="79"/>
      <c r="H64" s="79"/>
      <c r="I64" s="73"/>
    </row>
    <row r="65" spans="2:11" ht="15.75" customHeight="1" x14ac:dyDescent="0.2">
      <c r="B65" s="69"/>
      <c r="C65" s="5" t="str">
        <f t="shared" si="4"/>
        <v>TKI30</v>
      </c>
      <c r="D65" s="12" t="s">
        <v>33</v>
      </c>
      <c r="E65" s="12">
        <v>30</v>
      </c>
      <c r="F65" s="6" t="s">
        <v>56</v>
      </c>
      <c r="G65" s="5">
        <v>2</v>
      </c>
      <c r="H65" s="5">
        <v>2</v>
      </c>
      <c r="I65" s="7"/>
    </row>
    <row r="66" spans="2:11" ht="15.75" customHeight="1" x14ac:dyDescent="0.2">
      <c r="B66" s="69"/>
      <c r="C66" s="5" t="str">
        <f t="shared" si="4"/>
        <v>TKI31</v>
      </c>
      <c r="D66" s="12" t="s">
        <v>33</v>
      </c>
      <c r="E66" s="12">
        <v>31</v>
      </c>
      <c r="F66" s="6" t="s">
        <v>57</v>
      </c>
      <c r="G66" s="5">
        <v>0</v>
      </c>
      <c r="H66" s="5">
        <v>2</v>
      </c>
      <c r="I66" s="7"/>
    </row>
    <row r="67" spans="2:11" ht="15.75" customHeight="1" x14ac:dyDescent="0.2">
      <c r="B67" s="69"/>
      <c r="C67" s="5" t="str">
        <f t="shared" si="4"/>
        <v>TKI32</v>
      </c>
      <c r="D67" s="12" t="s">
        <v>33</v>
      </c>
      <c r="E67" s="12">
        <v>32</v>
      </c>
      <c r="F67" s="6" t="s">
        <v>58</v>
      </c>
      <c r="G67" s="5">
        <v>2</v>
      </c>
      <c r="H67" s="5">
        <v>2</v>
      </c>
      <c r="I67" s="7"/>
    </row>
    <row r="68" spans="2:11" ht="15.75" customHeight="1" x14ac:dyDescent="0.2">
      <c r="B68" s="69"/>
      <c r="C68" s="12"/>
      <c r="D68" s="12"/>
      <c r="E68" s="12"/>
      <c r="F68" s="6" t="s">
        <v>137</v>
      </c>
      <c r="G68" s="5">
        <v>2</v>
      </c>
      <c r="H68" s="5">
        <v>0</v>
      </c>
      <c r="I68" s="7"/>
    </row>
    <row r="69" spans="2:11" ht="15.75" customHeight="1" x14ac:dyDescent="0.2">
      <c r="B69" s="69"/>
      <c r="C69" s="12"/>
      <c r="D69" s="12"/>
      <c r="E69" s="12"/>
      <c r="F69" s="13" t="s">
        <v>16</v>
      </c>
      <c r="G69" s="5">
        <v>2</v>
      </c>
      <c r="H69" s="5">
        <v>2</v>
      </c>
      <c r="I69" s="7"/>
      <c r="K69">
        <v>4</v>
      </c>
    </row>
    <row r="70" spans="2:11" ht="15.75" customHeight="1" x14ac:dyDescent="0.2">
      <c r="B70" s="69"/>
      <c r="C70" s="12"/>
      <c r="D70" s="12"/>
      <c r="E70" s="12"/>
      <c r="F70" s="77" t="s">
        <v>9</v>
      </c>
      <c r="G70" s="8">
        <f>SUM(G65:G69)</f>
        <v>8</v>
      </c>
      <c r="H70" s="8">
        <f>SUM(H65:H69)</f>
        <v>8</v>
      </c>
      <c r="I70" s="7"/>
    </row>
    <row r="71" spans="2:11" ht="15.75" customHeight="1" x14ac:dyDescent="0.2">
      <c r="B71" s="70"/>
      <c r="C71" s="11"/>
      <c r="D71" s="11"/>
      <c r="E71" s="11"/>
      <c r="F71" s="70"/>
      <c r="G71" s="72">
        <f>G70+H70</f>
        <v>16</v>
      </c>
      <c r="H71" s="73"/>
      <c r="I71" s="7"/>
      <c r="J71" s="9">
        <f>G71</f>
        <v>16</v>
      </c>
    </row>
    <row r="72" spans="2:11" ht="15.75" customHeight="1" x14ac:dyDescent="0.2">
      <c r="B72" s="68">
        <v>7</v>
      </c>
      <c r="C72" s="19"/>
      <c r="D72" s="19"/>
      <c r="E72" s="19"/>
      <c r="F72" s="78" t="s">
        <v>23</v>
      </c>
      <c r="G72" s="79"/>
      <c r="H72" s="79"/>
      <c r="I72" s="73"/>
    </row>
    <row r="73" spans="2:11" ht="15.75" customHeight="1" x14ac:dyDescent="0.2">
      <c r="B73" s="69"/>
      <c r="C73" s="5" t="str">
        <f>D73&amp;B72&amp;E73</f>
        <v>ISA7</v>
      </c>
      <c r="D73" s="5" t="s">
        <v>32</v>
      </c>
      <c r="F73" s="6" t="s">
        <v>59</v>
      </c>
      <c r="G73" s="5">
        <v>0</v>
      </c>
      <c r="H73" s="5">
        <v>20</v>
      </c>
      <c r="I73" s="7"/>
    </row>
    <row r="74" spans="2:11" ht="15.75" customHeight="1" x14ac:dyDescent="0.2">
      <c r="B74" s="69"/>
      <c r="C74" s="5" t="str">
        <f t="shared" ref="C74:C76" si="5">D74&amp;B$72&amp;E74</f>
        <v>TKI733</v>
      </c>
      <c r="D74" s="5" t="s">
        <v>33</v>
      </c>
      <c r="E74" s="5">
        <v>33</v>
      </c>
      <c r="F74" s="6" t="s">
        <v>60</v>
      </c>
      <c r="G74" s="5">
        <v>0</v>
      </c>
      <c r="H74" s="5">
        <v>20</v>
      </c>
      <c r="I74" s="7"/>
    </row>
    <row r="75" spans="2:11" ht="15.75" customHeight="1" x14ac:dyDescent="0.2">
      <c r="B75" s="69"/>
      <c r="C75" s="5" t="str">
        <f t="shared" si="5"/>
        <v>TKI734</v>
      </c>
      <c r="D75" s="5" t="s">
        <v>33</v>
      </c>
      <c r="E75" s="5">
        <v>34</v>
      </c>
      <c r="F75" s="6" t="s">
        <v>61</v>
      </c>
      <c r="G75" s="5">
        <v>0</v>
      </c>
      <c r="H75" s="5">
        <v>20</v>
      </c>
      <c r="I75" s="7"/>
    </row>
    <row r="76" spans="2:11" ht="15.75" customHeight="1" x14ac:dyDescent="0.2">
      <c r="B76" s="69"/>
      <c r="C76" s="5" t="str">
        <f t="shared" si="5"/>
        <v>TKI735</v>
      </c>
      <c r="D76" s="5" t="s">
        <v>33</v>
      </c>
      <c r="E76" s="5">
        <v>35</v>
      </c>
      <c r="F76" s="6" t="s">
        <v>24</v>
      </c>
      <c r="G76" s="5">
        <v>0</v>
      </c>
      <c r="H76" s="5">
        <v>20</v>
      </c>
      <c r="I76" s="7"/>
    </row>
    <row r="77" spans="2:11" ht="15.75" customHeight="1" x14ac:dyDescent="0.2">
      <c r="B77" s="69"/>
      <c r="C77" s="5"/>
      <c r="D77" s="5"/>
      <c r="E77" s="5"/>
      <c r="F77" s="16" t="s">
        <v>62</v>
      </c>
      <c r="G77" s="80">
        <v>20</v>
      </c>
      <c r="H77" s="73"/>
      <c r="I77" s="7"/>
      <c r="J77" s="9">
        <f>G77</f>
        <v>20</v>
      </c>
    </row>
    <row r="78" spans="2:11" ht="15.75" customHeight="1" x14ac:dyDescent="0.2">
      <c r="B78" s="69"/>
      <c r="C78" s="5"/>
      <c r="D78" s="19"/>
      <c r="E78" s="19"/>
      <c r="F78" s="81" t="s">
        <v>63</v>
      </c>
      <c r="G78" s="79"/>
      <c r="H78" s="79"/>
      <c r="I78" s="73"/>
    </row>
    <row r="79" spans="2:11" ht="15.75" customHeight="1" x14ac:dyDescent="0.2">
      <c r="B79" s="69"/>
      <c r="C79" s="5" t="str">
        <f t="shared" ref="C79:C81" si="6">D79&amp;B$72&amp;E79</f>
        <v>TKI736</v>
      </c>
      <c r="D79" s="5" t="s">
        <v>33</v>
      </c>
      <c r="E79" s="5">
        <v>36</v>
      </c>
      <c r="F79" s="6" t="s">
        <v>64</v>
      </c>
      <c r="G79" s="7">
        <v>2</v>
      </c>
      <c r="H79" s="7">
        <v>0</v>
      </c>
      <c r="I79" s="7" t="s">
        <v>35</v>
      </c>
    </row>
    <row r="80" spans="2:11" ht="15.75" customHeight="1" x14ac:dyDescent="0.2">
      <c r="B80" s="69"/>
      <c r="C80" s="5" t="str">
        <f t="shared" si="6"/>
        <v>TKI737</v>
      </c>
      <c r="D80" s="5" t="s">
        <v>33</v>
      </c>
      <c r="E80" s="5">
        <v>37</v>
      </c>
      <c r="F80" s="46" t="s">
        <v>65</v>
      </c>
      <c r="G80" s="7">
        <v>2</v>
      </c>
      <c r="H80" s="7">
        <v>0</v>
      </c>
      <c r="I80" s="7"/>
    </row>
    <row r="81" spans="2:13" ht="15.75" customHeight="1" x14ac:dyDescent="0.2">
      <c r="B81" s="69"/>
      <c r="C81" s="5" t="str">
        <f t="shared" si="6"/>
        <v>TKI738</v>
      </c>
      <c r="D81" s="5" t="s">
        <v>33</v>
      </c>
      <c r="E81" s="5">
        <v>38</v>
      </c>
      <c r="F81" s="6" t="s">
        <v>66</v>
      </c>
      <c r="G81" s="7">
        <v>2</v>
      </c>
      <c r="H81" s="7">
        <v>0</v>
      </c>
      <c r="I81" s="7"/>
    </row>
    <row r="82" spans="2:13" ht="15.75" customHeight="1" x14ac:dyDescent="0.2">
      <c r="B82" s="69"/>
      <c r="C82" s="5"/>
      <c r="D82" s="5"/>
      <c r="E82" s="5"/>
      <c r="F82" s="13" t="s">
        <v>16</v>
      </c>
      <c r="G82" s="7">
        <v>2</v>
      </c>
      <c r="H82" s="7">
        <v>2</v>
      </c>
      <c r="I82" s="7"/>
    </row>
    <row r="83" spans="2:13" ht="15.75" customHeight="1" x14ac:dyDescent="0.2">
      <c r="B83" s="69"/>
      <c r="C83" s="5"/>
      <c r="D83" s="4"/>
      <c r="E83" s="4"/>
      <c r="F83" s="77" t="s">
        <v>9</v>
      </c>
      <c r="G83" s="8">
        <f>SUM(G79:G82)</f>
        <v>8</v>
      </c>
      <c r="H83" s="8">
        <f>SUM(H79:H82)</f>
        <v>2</v>
      </c>
      <c r="I83" s="7"/>
      <c r="K83">
        <v>3</v>
      </c>
    </row>
    <row r="84" spans="2:13" ht="15.75" customHeight="1" x14ac:dyDescent="0.2">
      <c r="B84" s="70"/>
      <c r="C84" s="5"/>
      <c r="D84" s="11"/>
      <c r="E84" s="11"/>
      <c r="F84" s="70"/>
      <c r="G84" s="72">
        <f>G83+H83</f>
        <v>10</v>
      </c>
      <c r="H84" s="73"/>
      <c r="I84" s="7"/>
      <c r="J84" s="9">
        <f>G84</f>
        <v>10</v>
      </c>
    </row>
    <row r="85" spans="2:13" ht="15.75" customHeight="1" x14ac:dyDescent="0.2">
      <c r="B85" s="68">
        <v>8</v>
      </c>
      <c r="C85" s="5" t="str">
        <f t="shared" ref="C85:C87" si="7">D85&amp;B$85&amp;E85</f>
        <v>TKI840</v>
      </c>
      <c r="D85" s="4" t="s">
        <v>33</v>
      </c>
      <c r="E85" s="4">
        <v>40</v>
      </c>
      <c r="F85" s="6" t="s">
        <v>25</v>
      </c>
      <c r="G85" s="7">
        <v>0</v>
      </c>
      <c r="H85" s="7">
        <v>1</v>
      </c>
      <c r="I85" s="7"/>
    </row>
    <row r="86" spans="2:13" ht="15.75" customHeight="1" x14ac:dyDescent="0.2">
      <c r="B86" s="69"/>
      <c r="C86" s="5" t="str">
        <f t="shared" si="7"/>
        <v>TKI841</v>
      </c>
      <c r="D86" s="4" t="s">
        <v>33</v>
      </c>
      <c r="E86" s="12">
        <v>41</v>
      </c>
      <c r="F86" s="6" t="s">
        <v>68</v>
      </c>
      <c r="G86" s="7">
        <v>0</v>
      </c>
      <c r="H86" s="7">
        <v>1</v>
      </c>
      <c r="I86" s="7"/>
    </row>
    <row r="87" spans="2:13" ht="15.75" customHeight="1" x14ac:dyDescent="0.2">
      <c r="B87" s="69"/>
      <c r="C87" s="5" t="str">
        <f t="shared" si="7"/>
        <v>TKI842</v>
      </c>
      <c r="D87" s="4" t="s">
        <v>33</v>
      </c>
      <c r="E87" s="12">
        <v>42</v>
      </c>
      <c r="F87" s="6" t="s">
        <v>26</v>
      </c>
      <c r="G87" s="7">
        <v>0</v>
      </c>
      <c r="H87" s="7">
        <v>4</v>
      </c>
      <c r="I87" s="7"/>
    </row>
    <row r="88" spans="2:13" ht="15.75" customHeight="1" x14ac:dyDescent="0.2">
      <c r="B88" s="69"/>
      <c r="C88" s="12"/>
      <c r="D88" s="12"/>
      <c r="E88" s="12"/>
      <c r="F88" s="71" t="s">
        <v>9</v>
      </c>
      <c r="G88" s="8">
        <v>0</v>
      </c>
      <c r="H88" s="8">
        <v>6</v>
      </c>
      <c r="I88" s="7"/>
      <c r="K88">
        <v>3</v>
      </c>
      <c r="L88">
        <f>K88+K83+K69+K54+K46+K36+K25+K16</f>
        <v>48</v>
      </c>
    </row>
    <row r="89" spans="2:13" ht="15.75" customHeight="1" x14ac:dyDescent="0.2">
      <c r="B89" s="70"/>
      <c r="C89" s="11"/>
      <c r="D89" s="11"/>
      <c r="E89" s="11"/>
      <c r="F89" s="70"/>
      <c r="G89" s="72">
        <v>6</v>
      </c>
      <c r="H89" s="73"/>
      <c r="I89" s="7"/>
      <c r="J89" s="9">
        <f>G89</f>
        <v>6</v>
      </c>
      <c r="L89">
        <v>15</v>
      </c>
    </row>
    <row r="90" spans="2:13" ht="15" customHeight="1" x14ac:dyDescent="0.2">
      <c r="B90" s="74" t="s">
        <v>27</v>
      </c>
      <c r="C90" s="20"/>
      <c r="D90" s="20"/>
      <c r="E90" s="20"/>
      <c r="F90" s="21" t="s">
        <v>4</v>
      </c>
      <c r="G90" s="22">
        <f>G15+G26+G36+G46+G56+G70+G83</f>
        <v>87</v>
      </c>
      <c r="H90" s="21"/>
      <c r="I90" s="23">
        <f>(G90/G92)*100</f>
        <v>59.589041095890416</v>
      </c>
      <c r="J90" s="24" t="s">
        <v>69</v>
      </c>
      <c r="L90">
        <f>SUM(L88:L89)</f>
        <v>63</v>
      </c>
    </row>
    <row r="91" spans="2:13" ht="15.75" customHeight="1" x14ac:dyDescent="0.2">
      <c r="B91" s="69"/>
      <c r="C91" s="20"/>
      <c r="D91" s="20"/>
      <c r="E91" s="20"/>
      <c r="F91" s="21" t="s">
        <v>5</v>
      </c>
      <c r="G91" s="21">
        <f>H15+H26+H36+H46+H56+H70+H76+H83+H88</f>
        <v>59</v>
      </c>
      <c r="H91" s="21"/>
      <c r="I91" s="23">
        <f>(G91/G92)*100</f>
        <v>40.410958904109592</v>
      </c>
      <c r="J91" s="24" t="s">
        <v>69</v>
      </c>
    </row>
    <row r="92" spans="2:13" ht="15.75" customHeight="1" x14ac:dyDescent="0.2">
      <c r="B92" s="70"/>
      <c r="C92" s="20"/>
      <c r="D92" s="20"/>
      <c r="E92" s="20"/>
      <c r="F92" s="21" t="s">
        <v>28</v>
      </c>
      <c r="G92" s="21">
        <f>G90+G91</f>
        <v>146</v>
      </c>
      <c r="H92" s="21" t="s">
        <v>70</v>
      </c>
      <c r="I92" s="23">
        <f>SUM(I90:I91)</f>
        <v>100</v>
      </c>
      <c r="J92" s="24" t="s">
        <v>69</v>
      </c>
      <c r="L92">
        <f>L88-4-2-2</f>
        <v>40</v>
      </c>
      <c r="M92">
        <v>8</v>
      </c>
    </row>
    <row r="93" spans="2:13" ht="15.75" customHeight="1" x14ac:dyDescent="0.2">
      <c r="B93" s="25"/>
      <c r="C93" s="25"/>
      <c r="D93" s="25"/>
      <c r="E93" s="25"/>
      <c r="F93" s="25"/>
      <c r="G93" s="25" t="s">
        <v>117</v>
      </c>
      <c r="H93" s="25"/>
      <c r="I93" s="25"/>
    </row>
    <row r="94" spans="2:13" ht="15.75" customHeight="1" x14ac:dyDescent="0.2">
      <c r="B94" s="75" t="s">
        <v>71</v>
      </c>
      <c r="C94" s="76"/>
      <c r="D94" s="76"/>
      <c r="E94" s="76"/>
      <c r="F94" s="76"/>
      <c r="G94" s="76"/>
      <c r="H94" s="76"/>
      <c r="I94" s="25"/>
    </row>
    <row r="95" spans="2:13" ht="15.75" customHeight="1" x14ac:dyDescent="0.2">
      <c r="B95" s="77" t="s">
        <v>0</v>
      </c>
      <c r="C95" s="77" t="s">
        <v>30</v>
      </c>
      <c r="D95" s="10"/>
      <c r="E95" s="10"/>
      <c r="F95" s="77" t="s">
        <v>72</v>
      </c>
      <c r="G95" s="72" t="s">
        <v>2</v>
      </c>
      <c r="H95" s="73"/>
      <c r="I95" s="25"/>
    </row>
    <row r="96" spans="2:13" ht="15.75" customHeight="1" x14ac:dyDescent="0.2">
      <c r="B96" s="70"/>
      <c r="C96" s="70"/>
      <c r="D96" s="10"/>
      <c r="E96" s="10"/>
      <c r="F96" s="70"/>
      <c r="G96" s="21" t="s">
        <v>4</v>
      </c>
      <c r="H96" s="21" t="s">
        <v>73</v>
      </c>
      <c r="I96" s="25"/>
    </row>
    <row r="97" spans="1:9" ht="15.75" customHeight="1" x14ac:dyDescent="0.2">
      <c r="A97" s="26">
        <v>5</v>
      </c>
      <c r="B97" s="49" t="s">
        <v>74</v>
      </c>
      <c r="C97" s="49" t="str">
        <f t="shared" ref="C97:C111" si="8">D97&amp;A97&amp;E97</f>
        <v>TKI543</v>
      </c>
      <c r="D97" s="49" t="s">
        <v>33</v>
      </c>
      <c r="E97" s="49">
        <v>43</v>
      </c>
      <c r="F97" s="50" t="s">
        <v>132</v>
      </c>
      <c r="G97" s="51">
        <v>2</v>
      </c>
      <c r="H97" s="51">
        <v>0</v>
      </c>
      <c r="I97" s="25"/>
    </row>
    <row r="98" spans="1:9" ht="15.75" customHeight="1" x14ac:dyDescent="0.2">
      <c r="A98" s="26">
        <v>5</v>
      </c>
      <c r="B98" s="49" t="s">
        <v>74</v>
      </c>
      <c r="C98" s="49" t="str">
        <f t="shared" si="8"/>
        <v>TKI544</v>
      </c>
      <c r="D98" s="49" t="s">
        <v>33</v>
      </c>
      <c r="E98" s="49">
        <v>44</v>
      </c>
      <c r="F98" s="50" t="s">
        <v>134</v>
      </c>
      <c r="G98" s="51">
        <v>2</v>
      </c>
      <c r="H98" s="51">
        <v>2</v>
      </c>
      <c r="I98" s="25"/>
    </row>
    <row r="99" spans="1:9" ht="15.75" customHeight="1" x14ac:dyDescent="0.2">
      <c r="A99" s="26">
        <v>5</v>
      </c>
      <c r="B99" s="49" t="s">
        <v>74</v>
      </c>
      <c r="C99" s="49" t="str">
        <f t="shared" si="8"/>
        <v>TKI545</v>
      </c>
      <c r="D99" s="49" t="s">
        <v>33</v>
      </c>
      <c r="E99" s="49">
        <v>45</v>
      </c>
      <c r="F99" s="50" t="s">
        <v>138</v>
      </c>
      <c r="G99" s="51">
        <v>2</v>
      </c>
      <c r="H99" s="51">
        <v>0</v>
      </c>
      <c r="I99" s="25"/>
    </row>
    <row r="100" spans="1:9" ht="15.75" customHeight="1" x14ac:dyDescent="0.2">
      <c r="A100" s="26">
        <v>5</v>
      </c>
      <c r="B100" s="49" t="s">
        <v>74</v>
      </c>
      <c r="C100" s="49" t="str">
        <f t="shared" si="8"/>
        <v>TKI546</v>
      </c>
      <c r="D100" s="49" t="s">
        <v>33</v>
      </c>
      <c r="E100" s="49">
        <v>46</v>
      </c>
      <c r="F100" s="50" t="s">
        <v>136</v>
      </c>
      <c r="G100" s="51">
        <v>2</v>
      </c>
      <c r="H100" s="51">
        <v>0</v>
      </c>
      <c r="I100" s="25"/>
    </row>
    <row r="101" spans="1:9" ht="15.75" customHeight="1" x14ac:dyDescent="0.2">
      <c r="A101" s="26">
        <v>5</v>
      </c>
      <c r="B101" s="49" t="s">
        <v>74</v>
      </c>
      <c r="C101" s="49" t="str">
        <f t="shared" si="8"/>
        <v>TKI547</v>
      </c>
      <c r="D101" s="49" t="s">
        <v>33</v>
      </c>
      <c r="E101" s="49">
        <v>47</v>
      </c>
      <c r="F101" s="50" t="s">
        <v>127</v>
      </c>
      <c r="G101" s="51">
        <v>2</v>
      </c>
      <c r="H101" s="51">
        <v>0</v>
      </c>
      <c r="I101" s="25">
        <f>SUM(G97:G101)+SUM(H97:H101)</f>
        <v>12</v>
      </c>
    </row>
    <row r="102" spans="1:9" ht="15.75" customHeight="1" x14ac:dyDescent="0.2">
      <c r="A102" s="26">
        <v>6</v>
      </c>
      <c r="B102" s="52" t="s">
        <v>76</v>
      </c>
      <c r="C102" s="52" t="str">
        <f t="shared" si="8"/>
        <v>TKI650</v>
      </c>
      <c r="D102" s="52" t="s">
        <v>33</v>
      </c>
      <c r="E102" s="52">
        <v>50</v>
      </c>
      <c r="F102" s="53" t="s">
        <v>77</v>
      </c>
      <c r="G102" s="54">
        <v>2</v>
      </c>
      <c r="H102" s="54">
        <v>0</v>
      </c>
      <c r="I102" s="25"/>
    </row>
    <row r="103" spans="1:9" ht="15.75" customHeight="1" x14ac:dyDescent="0.2">
      <c r="A103" s="26">
        <v>6</v>
      </c>
      <c r="B103" s="52" t="s">
        <v>76</v>
      </c>
      <c r="C103" s="52" t="str">
        <f t="shared" si="8"/>
        <v>TKI652</v>
      </c>
      <c r="D103" s="52" t="s">
        <v>33</v>
      </c>
      <c r="E103" s="52">
        <v>52</v>
      </c>
      <c r="F103" s="53" t="s">
        <v>75</v>
      </c>
      <c r="G103" s="54">
        <v>0</v>
      </c>
      <c r="H103" s="54">
        <v>2</v>
      </c>
      <c r="I103" s="25"/>
    </row>
    <row r="104" spans="1:9" ht="15.75" customHeight="1" x14ac:dyDescent="0.2">
      <c r="A104" s="26">
        <v>6</v>
      </c>
      <c r="B104" s="52" t="s">
        <v>76</v>
      </c>
      <c r="C104" s="52" t="str">
        <f t="shared" si="8"/>
        <v>TKI653</v>
      </c>
      <c r="D104" s="52" t="s">
        <v>33</v>
      </c>
      <c r="E104" s="52">
        <v>53</v>
      </c>
      <c r="F104" s="53" t="s">
        <v>130</v>
      </c>
      <c r="G104" s="54">
        <v>2</v>
      </c>
      <c r="H104" s="54">
        <v>0</v>
      </c>
      <c r="I104" s="25"/>
    </row>
    <row r="105" spans="1:9" ht="15.75" customHeight="1" x14ac:dyDescent="0.2">
      <c r="A105" s="26">
        <v>6</v>
      </c>
      <c r="B105" s="52" t="s">
        <v>76</v>
      </c>
      <c r="C105" s="52" t="str">
        <f t="shared" si="8"/>
        <v>TKI654</v>
      </c>
      <c r="D105" s="52" t="s">
        <v>33</v>
      </c>
      <c r="E105" s="52">
        <v>54</v>
      </c>
      <c r="F105" s="53" t="s">
        <v>78</v>
      </c>
      <c r="G105" s="54">
        <v>0</v>
      </c>
      <c r="H105" s="54">
        <v>2</v>
      </c>
      <c r="I105" s="25">
        <f>SUM(G102:G106)+SUM(H102:H106)</f>
        <v>10</v>
      </c>
    </row>
    <row r="106" spans="1:9" ht="15.75" customHeight="1" x14ac:dyDescent="0.2">
      <c r="A106" s="26">
        <v>6</v>
      </c>
      <c r="B106" s="58" t="s">
        <v>76</v>
      </c>
      <c r="C106" s="58" t="str">
        <f t="shared" si="8"/>
        <v>TKI655</v>
      </c>
      <c r="D106" s="58" t="s">
        <v>33</v>
      </c>
      <c r="E106" s="58">
        <v>55</v>
      </c>
      <c r="F106" s="59" t="s">
        <v>131</v>
      </c>
      <c r="G106" s="60">
        <v>2</v>
      </c>
      <c r="H106" s="60">
        <v>0</v>
      </c>
      <c r="I106" s="25"/>
    </row>
    <row r="107" spans="1:9" ht="15.75" customHeight="1" x14ac:dyDescent="0.2">
      <c r="A107" s="26">
        <v>7</v>
      </c>
      <c r="B107" s="55" t="s">
        <v>79</v>
      </c>
      <c r="C107" s="55" t="str">
        <f t="shared" si="8"/>
        <v>TKI756</v>
      </c>
      <c r="D107" s="55" t="s">
        <v>33</v>
      </c>
      <c r="E107" s="55">
        <v>56</v>
      </c>
      <c r="F107" s="56" t="s">
        <v>80</v>
      </c>
      <c r="G107" s="57">
        <v>2</v>
      </c>
      <c r="H107" s="57">
        <v>0</v>
      </c>
      <c r="I107" s="25"/>
    </row>
    <row r="108" spans="1:9" ht="15.75" customHeight="1" x14ac:dyDescent="0.2">
      <c r="A108" s="26">
        <v>7</v>
      </c>
      <c r="B108" s="55" t="s">
        <v>79</v>
      </c>
      <c r="C108" s="55" t="str">
        <f t="shared" si="8"/>
        <v>TKI757</v>
      </c>
      <c r="D108" s="55" t="s">
        <v>33</v>
      </c>
      <c r="E108" s="55">
        <v>57</v>
      </c>
      <c r="F108" s="56" t="s">
        <v>132</v>
      </c>
      <c r="G108" s="57">
        <v>2</v>
      </c>
      <c r="H108" s="57">
        <v>0</v>
      </c>
      <c r="I108" s="25"/>
    </row>
    <row r="109" spans="1:9" ht="15.75" customHeight="1" x14ac:dyDescent="0.2">
      <c r="A109" s="26">
        <v>7</v>
      </c>
      <c r="B109" s="55" t="s">
        <v>81</v>
      </c>
      <c r="C109" s="55" t="str">
        <f t="shared" si="8"/>
        <v>TKI758</v>
      </c>
      <c r="D109" s="55" t="s">
        <v>33</v>
      </c>
      <c r="E109" s="55">
        <v>58</v>
      </c>
      <c r="F109" s="56" t="s">
        <v>82</v>
      </c>
      <c r="G109" s="57">
        <v>2</v>
      </c>
      <c r="H109" s="57">
        <v>2</v>
      </c>
      <c r="I109" s="25"/>
    </row>
    <row r="110" spans="1:9" ht="15.75" customHeight="1" x14ac:dyDescent="0.2">
      <c r="A110" s="26">
        <v>7</v>
      </c>
      <c r="B110" s="55" t="s">
        <v>79</v>
      </c>
      <c r="C110" s="55" t="str">
        <f t="shared" si="8"/>
        <v>TKI759</v>
      </c>
      <c r="D110" s="55" t="s">
        <v>33</v>
      </c>
      <c r="E110" s="55">
        <v>59</v>
      </c>
      <c r="F110" s="56" t="s">
        <v>133</v>
      </c>
      <c r="G110" s="57">
        <v>2</v>
      </c>
      <c r="H110" s="57">
        <v>0</v>
      </c>
      <c r="I110" s="25"/>
    </row>
    <row r="111" spans="1:9" ht="15.75" customHeight="1" x14ac:dyDescent="0.2">
      <c r="A111" s="26">
        <v>7</v>
      </c>
      <c r="B111" s="63" t="s">
        <v>79</v>
      </c>
      <c r="C111" s="63" t="str">
        <f t="shared" si="8"/>
        <v>TKI760</v>
      </c>
      <c r="D111" s="63" t="s">
        <v>33</v>
      </c>
      <c r="E111" s="63">
        <v>60</v>
      </c>
      <c r="F111" s="64" t="s">
        <v>129</v>
      </c>
      <c r="G111" s="65">
        <v>2</v>
      </c>
      <c r="H111" s="65">
        <v>0</v>
      </c>
      <c r="I111" s="25">
        <f>SUM(G107:G112)+SUM(H107:H112)</f>
        <v>14</v>
      </c>
    </row>
    <row r="112" spans="1:9" ht="15.75" customHeight="1" x14ac:dyDescent="0.2">
      <c r="A112" s="26">
        <v>7</v>
      </c>
      <c r="B112" s="63" t="s">
        <v>79</v>
      </c>
      <c r="C112" s="63" t="str">
        <f>D112&amp;A112&amp;E112</f>
        <v>TKI761</v>
      </c>
      <c r="D112" s="63" t="s">
        <v>33</v>
      </c>
      <c r="E112" s="55">
        <v>61</v>
      </c>
      <c r="F112" s="66" t="s">
        <v>135</v>
      </c>
      <c r="G112" s="67">
        <v>2</v>
      </c>
      <c r="H112" s="67">
        <v>0</v>
      </c>
      <c r="I112" s="25"/>
    </row>
    <row r="113" spans="2:9" ht="15.75" customHeight="1" x14ac:dyDescent="0.2">
      <c r="B113" s="25"/>
      <c r="C113" s="25"/>
      <c r="D113" s="25"/>
      <c r="E113" s="25"/>
      <c r="F113" s="25"/>
      <c r="G113" s="27">
        <f>SUM(G97:G112)</f>
        <v>28</v>
      </c>
      <c r="H113" s="27">
        <f t="shared" ref="H113" si="9">SUM(H97:H111)</f>
        <v>8</v>
      </c>
      <c r="I113" s="25"/>
    </row>
    <row r="114" spans="2:9" ht="15.75" customHeight="1" x14ac:dyDescent="0.2"/>
    <row r="115" spans="2:9" ht="15.75" customHeight="1" x14ac:dyDescent="0.2">
      <c r="F115" s="61" t="s">
        <v>127</v>
      </c>
    </row>
    <row r="116" spans="2:9" ht="15.75" customHeight="1" x14ac:dyDescent="0.2">
      <c r="F116" s="61" t="s">
        <v>128</v>
      </c>
    </row>
    <row r="117" spans="2:9" ht="15.75" customHeight="1" x14ac:dyDescent="0.2">
      <c r="F117" s="61" t="s">
        <v>129</v>
      </c>
    </row>
    <row r="118" spans="2:9" ht="15.75" customHeight="1" x14ac:dyDescent="0.2">
      <c r="F118" s="61" t="s">
        <v>130</v>
      </c>
    </row>
    <row r="119" spans="2:9" ht="15.75" customHeight="1" x14ac:dyDescent="0.2">
      <c r="F119" s="61" t="s">
        <v>131</v>
      </c>
    </row>
    <row r="120" spans="2:9" ht="15.75" customHeight="1" x14ac:dyDescent="0.2">
      <c r="F120" s="61" t="s">
        <v>132</v>
      </c>
    </row>
    <row r="121" spans="2:9" ht="15.75" customHeight="1" x14ac:dyDescent="0.2">
      <c r="F121" s="62" t="s">
        <v>133</v>
      </c>
    </row>
    <row r="122" spans="2:9" ht="15.75" customHeight="1" x14ac:dyDescent="0.2">
      <c r="F122" s="25"/>
    </row>
    <row r="123" spans="2:9" ht="15.75" customHeight="1" x14ac:dyDescent="0.2">
      <c r="F123" s="25"/>
    </row>
    <row r="124" spans="2:9" ht="15.75" customHeight="1" x14ac:dyDescent="0.2"/>
    <row r="125" spans="2:9" ht="15.75" customHeight="1" x14ac:dyDescent="0.2">
      <c r="F125" s="25"/>
    </row>
    <row r="126" spans="2:9" ht="15.75" customHeight="1" x14ac:dyDescent="0.2">
      <c r="F126" s="25"/>
    </row>
    <row r="127" spans="2:9" ht="15.75" customHeight="1" x14ac:dyDescent="0.2"/>
    <row r="128" spans="2:9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45">
    <mergeCell ref="B2:I2"/>
    <mergeCell ref="B4:B5"/>
    <mergeCell ref="C4:C5"/>
    <mergeCell ref="F4:F5"/>
    <mergeCell ref="G4:H4"/>
    <mergeCell ref="I4:I5"/>
    <mergeCell ref="B6:B16"/>
    <mergeCell ref="F15:F16"/>
    <mergeCell ref="G16:H16"/>
    <mergeCell ref="B17:B27"/>
    <mergeCell ref="F26:F27"/>
    <mergeCell ref="G27:H27"/>
    <mergeCell ref="B28:B37"/>
    <mergeCell ref="F36:F37"/>
    <mergeCell ref="G37:H37"/>
    <mergeCell ref="B38:B47"/>
    <mergeCell ref="F46:F47"/>
    <mergeCell ref="G47:H47"/>
    <mergeCell ref="B48:B57"/>
    <mergeCell ref="F48:I48"/>
    <mergeCell ref="F49:I49"/>
    <mergeCell ref="F50:I50"/>
    <mergeCell ref="F56:F57"/>
    <mergeCell ref="G57:H57"/>
    <mergeCell ref="B58:B71"/>
    <mergeCell ref="F58:I58"/>
    <mergeCell ref="G63:H63"/>
    <mergeCell ref="F64:I64"/>
    <mergeCell ref="F70:F71"/>
    <mergeCell ref="G71:H71"/>
    <mergeCell ref="B95:B96"/>
    <mergeCell ref="C95:C96"/>
    <mergeCell ref="F95:F96"/>
    <mergeCell ref="G95:H95"/>
    <mergeCell ref="B72:B84"/>
    <mergeCell ref="F72:I72"/>
    <mergeCell ref="G77:H77"/>
    <mergeCell ref="F78:I78"/>
    <mergeCell ref="F83:F84"/>
    <mergeCell ref="G84:H84"/>
    <mergeCell ref="B85:B89"/>
    <mergeCell ref="F88:F89"/>
    <mergeCell ref="G89:H89"/>
    <mergeCell ref="B90:B92"/>
    <mergeCell ref="B94:H9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1001"/>
  <sheetViews>
    <sheetView workbookViewId="0"/>
  </sheetViews>
  <sheetFormatPr baseColWidth="10" defaultColWidth="14.5" defaultRowHeight="15" customHeight="1" x14ac:dyDescent="0.2"/>
  <cols>
    <col min="1" max="1" width="16.33203125" customWidth="1"/>
    <col min="2" max="2" width="25.6640625" customWidth="1"/>
    <col min="3" max="3" width="48.5" customWidth="1"/>
    <col min="4" max="26" width="8.6640625" customWidth="1"/>
  </cols>
  <sheetData>
    <row r="3" spans="1:3" ht="16" x14ac:dyDescent="0.2">
      <c r="A3" s="75" t="s">
        <v>85</v>
      </c>
      <c r="B3" s="76"/>
      <c r="C3" s="76"/>
    </row>
    <row r="4" spans="1:3" ht="16" x14ac:dyDescent="0.2">
      <c r="A4" s="25"/>
      <c r="B4" s="25"/>
      <c r="C4" s="25"/>
    </row>
    <row r="5" spans="1:3" ht="16" x14ac:dyDescent="0.2">
      <c r="A5" s="25"/>
      <c r="B5" s="25"/>
      <c r="C5" s="25"/>
    </row>
    <row r="6" spans="1:3" ht="16" x14ac:dyDescent="0.2">
      <c r="A6" s="21" t="s">
        <v>30</v>
      </c>
      <c r="B6" s="8" t="s">
        <v>72</v>
      </c>
      <c r="C6" s="8" t="s">
        <v>83</v>
      </c>
    </row>
    <row r="7" spans="1:3" ht="51" x14ac:dyDescent="0.2">
      <c r="A7" s="29" t="e">
        <f>#REF!</f>
        <v>#REF!</v>
      </c>
      <c r="B7" s="30" t="e">
        <f>#REF!</f>
        <v>#REF!</v>
      </c>
      <c r="C7" s="31" t="s">
        <v>86</v>
      </c>
    </row>
    <row r="8" spans="1:3" ht="34" x14ac:dyDescent="0.2">
      <c r="A8" s="29" t="e">
        <f>#REF!</f>
        <v>#REF!</v>
      </c>
      <c r="B8" s="30" t="e">
        <f>#REF!</f>
        <v>#REF!</v>
      </c>
      <c r="C8" s="32" t="s">
        <v>87</v>
      </c>
    </row>
    <row r="9" spans="1:3" ht="16" x14ac:dyDescent="0.2">
      <c r="A9" s="29" t="e">
        <f>#REF!</f>
        <v>#REF!</v>
      </c>
      <c r="B9" s="30" t="e">
        <f>#REF!</f>
        <v>#REF!</v>
      </c>
      <c r="C9" s="6" t="s">
        <v>88</v>
      </c>
    </row>
    <row r="10" spans="1:3" ht="34" x14ac:dyDescent="0.2">
      <c r="A10" s="29" t="e">
        <f>#REF!</f>
        <v>#REF!</v>
      </c>
      <c r="B10" s="30" t="e">
        <f>#REF!</f>
        <v>#REF!</v>
      </c>
      <c r="C10" s="32" t="s">
        <v>89</v>
      </c>
    </row>
    <row r="11" spans="1:3" ht="34" x14ac:dyDescent="0.2">
      <c r="A11" s="29" t="e">
        <f>#REF!</f>
        <v>#REF!</v>
      </c>
      <c r="B11" s="30" t="e">
        <f>#REF!</f>
        <v>#REF!</v>
      </c>
      <c r="C11" s="32" t="s">
        <v>87</v>
      </c>
    </row>
    <row r="12" spans="1:3" ht="17" x14ac:dyDescent="0.2">
      <c r="A12" s="29" t="e">
        <f>#REF!</f>
        <v>#REF!</v>
      </c>
      <c r="B12" s="30" t="e">
        <f>#REF!</f>
        <v>#REF!</v>
      </c>
      <c r="C12" s="32" t="s">
        <v>88</v>
      </c>
    </row>
    <row r="13" spans="1:3" ht="16" x14ac:dyDescent="0.2">
      <c r="A13" s="29" t="e">
        <f>#REF!</f>
        <v>#REF!</v>
      </c>
      <c r="B13" s="30" t="e">
        <f>#REF!</f>
        <v>#REF!</v>
      </c>
      <c r="C13" s="6" t="s">
        <v>90</v>
      </c>
    </row>
    <row r="14" spans="1:3" ht="34" x14ac:dyDescent="0.2">
      <c r="A14" s="29" t="e">
        <f>#REF!</f>
        <v>#REF!</v>
      </c>
      <c r="B14" s="30" t="e">
        <f>#REF!</f>
        <v>#REF!</v>
      </c>
      <c r="C14" s="32" t="s">
        <v>91</v>
      </c>
    </row>
    <row r="15" spans="1:3" ht="16" x14ac:dyDescent="0.2">
      <c r="A15" s="33" t="e">
        <f>#REF!</f>
        <v>#REF!</v>
      </c>
      <c r="B15" s="30" t="e">
        <f>#REF!</f>
        <v>#REF!</v>
      </c>
      <c r="C15" s="34" t="s">
        <v>84</v>
      </c>
    </row>
    <row r="16" spans="1:3" ht="16" x14ac:dyDescent="0.2">
      <c r="A16" s="35"/>
      <c r="B16" s="16" t="s">
        <v>92</v>
      </c>
      <c r="C16" s="28"/>
    </row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">
    <mergeCell ref="A3:C3"/>
  </mergeCells>
  <hyperlinks>
    <hyperlink ref="C7" r:id="rId1" xr:uid="{00000000-0004-0000-05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E7D6-A0BA-44C7-A048-3F6E523B495D}">
  <dimension ref="B3:S28"/>
  <sheetViews>
    <sheetView workbookViewId="0">
      <selection activeCell="R5" sqref="R5:S15"/>
    </sheetView>
  </sheetViews>
  <sheetFormatPr baseColWidth="10" defaultColWidth="8.83203125" defaultRowHeight="15" x14ac:dyDescent="0.2"/>
  <cols>
    <col min="5" max="5" width="11" bestFit="1" customWidth="1"/>
    <col min="6" max="7" width="12" bestFit="1" customWidth="1"/>
    <col min="9" max="9" width="9.5" customWidth="1"/>
    <col min="10" max="10" width="12" bestFit="1" customWidth="1"/>
    <col min="11" max="11" width="12" customWidth="1"/>
    <col min="13" max="13" width="11" bestFit="1" customWidth="1"/>
  </cols>
  <sheetData>
    <row r="3" spans="5:19" ht="16" thickBot="1" x14ac:dyDescent="0.25"/>
    <row r="4" spans="5:19" ht="35" thickBot="1" x14ac:dyDescent="0.25">
      <c r="I4" s="40" t="s">
        <v>111</v>
      </c>
      <c r="J4" s="41" t="s">
        <v>112</v>
      </c>
      <c r="K4" s="41" t="s">
        <v>113</v>
      </c>
    </row>
    <row r="5" spans="5:19" ht="16" x14ac:dyDescent="0.2">
      <c r="E5">
        <f>(4-3)/3</f>
        <v>0.33333333333333331</v>
      </c>
      <c r="G5">
        <f>G6+E5</f>
        <v>4</v>
      </c>
      <c r="H5">
        <v>4</v>
      </c>
      <c r="I5" s="42" t="s">
        <v>100</v>
      </c>
      <c r="J5" s="43">
        <v>80</v>
      </c>
      <c r="K5" s="43">
        <v>100</v>
      </c>
      <c r="M5">
        <v>0.01</v>
      </c>
      <c r="R5" s="42" t="s">
        <v>100</v>
      </c>
      <c r="S5">
        <v>4</v>
      </c>
    </row>
    <row r="6" spans="5:19" ht="16" x14ac:dyDescent="0.2">
      <c r="F6">
        <f>3+$E$5</f>
        <v>3.3333333333333335</v>
      </c>
      <c r="G6">
        <f>G7+E5</f>
        <v>3.666666666666667</v>
      </c>
      <c r="H6">
        <v>3.66</v>
      </c>
      <c r="I6" s="42" t="s">
        <v>101</v>
      </c>
      <c r="J6" s="43">
        <f>J7+M13</f>
        <v>76.666666666666657</v>
      </c>
      <c r="K6" s="43">
        <f t="shared" ref="K6:K14" si="0">J5-M$5</f>
        <v>79.989999999999995</v>
      </c>
      <c r="R6" s="42" t="s">
        <v>101</v>
      </c>
      <c r="S6">
        <v>3.66</v>
      </c>
    </row>
    <row r="7" spans="5:19" ht="16" x14ac:dyDescent="0.2">
      <c r="F7">
        <f>F6+E5</f>
        <v>3.666666666666667</v>
      </c>
      <c r="G7">
        <f>H8+E5</f>
        <v>3.3333333333333335</v>
      </c>
      <c r="H7">
        <v>3.33</v>
      </c>
      <c r="I7" s="42" t="s">
        <v>102</v>
      </c>
      <c r="J7" s="43">
        <f>J8+M13</f>
        <v>73.333333333333329</v>
      </c>
      <c r="K7" s="43">
        <f t="shared" si="0"/>
        <v>76.656666666666652</v>
      </c>
      <c r="R7" s="42" t="s">
        <v>102</v>
      </c>
      <c r="S7">
        <v>3.33</v>
      </c>
    </row>
    <row r="8" spans="5:19" ht="16" x14ac:dyDescent="0.2">
      <c r="F8">
        <f>F7+E5</f>
        <v>4</v>
      </c>
      <c r="H8">
        <v>3</v>
      </c>
      <c r="I8" s="42" t="s">
        <v>103</v>
      </c>
      <c r="J8" s="43">
        <v>70</v>
      </c>
      <c r="K8" s="43">
        <f t="shared" si="0"/>
        <v>73.323333333333323</v>
      </c>
      <c r="R8" s="42" t="s">
        <v>103</v>
      </c>
      <c r="S8">
        <v>3</v>
      </c>
    </row>
    <row r="9" spans="5:19" ht="16" x14ac:dyDescent="0.2">
      <c r="H9">
        <v>3.66</v>
      </c>
      <c r="I9" s="42" t="s">
        <v>104</v>
      </c>
      <c r="J9" s="43">
        <f>J10+M13</f>
        <v>66.666666666666671</v>
      </c>
      <c r="K9" s="43">
        <f t="shared" si="0"/>
        <v>69.989999999999995</v>
      </c>
      <c r="R9" s="42" t="s">
        <v>104</v>
      </c>
      <c r="S9">
        <v>3.66</v>
      </c>
    </row>
    <row r="10" spans="5:19" ht="16" x14ac:dyDescent="0.2">
      <c r="H10">
        <v>2.33</v>
      </c>
      <c r="I10" s="42" t="s">
        <v>105</v>
      </c>
      <c r="J10" s="43">
        <f>J11+M13</f>
        <v>63.333333333333336</v>
      </c>
      <c r="K10" s="43">
        <f t="shared" si="0"/>
        <v>66.656666666666666</v>
      </c>
      <c r="R10" s="42" t="s">
        <v>105</v>
      </c>
      <c r="S10">
        <v>2.33</v>
      </c>
    </row>
    <row r="11" spans="5:19" ht="16" x14ac:dyDescent="0.2">
      <c r="H11">
        <v>2</v>
      </c>
      <c r="I11" s="42" t="s">
        <v>106</v>
      </c>
      <c r="J11" s="43">
        <v>60</v>
      </c>
      <c r="K11" s="43">
        <f t="shared" si="0"/>
        <v>63.323333333333338</v>
      </c>
      <c r="L11" s="39"/>
      <c r="R11" s="42" t="s">
        <v>106</v>
      </c>
      <c r="S11">
        <v>2</v>
      </c>
    </row>
    <row r="12" spans="5:19" ht="16" x14ac:dyDescent="0.2">
      <c r="H12">
        <v>1.66</v>
      </c>
      <c r="I12" s="42" t="s">
        <v>107</v>
      </c>
      <c r="J12" s="43">
        <f>J13+M13</f>
        <v>56.666666666666671</v>
      </c>
      <c r="K12" s="43">
        <f t="shared" si="0"/>
        <v>59.99</v>
      </c>
      <c r="R12" s="42" t="s">
        <v>107</v>
      </c>
      <c r="S12">
        <v>1.66</v>
      </c>
    </row>
    <row r="13" spans="5:19" ht="16" x14ac:dyDescent="0.2">
      <c r="H13">
        <v>1.33</v>
      </c>
      <c r="I13" s="42" t="s">
        <v>110</v>
      </c>
      <c r="J13" s="43">
        <f>M13+J14</f>
        <v>53.333333333333336</v>
      </c>
      <c r="K13" s="43">
        <f t="shared" si="0"/>
        <v>56.656666666666673</v>
      </c>
      <c r="M13">
        <f>(J11-J14)/3</f>
        <v>3.3333333333333335</v>
      </c>
      <c r="R13" s="42" t="s">
        <v>110</v>
      </c>
      <c r="S13">
        <v>1.33</v>
      </c>
    </row>
    <row r="14" spans="5:19" ht="16" x14ac:dyDescent="0.2">
      <c r="H14">
        <v>1</v>
      </c>
      <c r="I14" s="42" t="s">
        <v>108</v>
      </c>
      <c r="J14" s="43">
        <v>50</v>
      </c>
      <c r="K14" s="43">
        <f t="shared" si="0"/>
        <v>53.323333333333338</v>
      </c>
      <c r="R14" s="42" t="s">
        <v>108</v>
      </c>
      <c r="S14">
        <v>1</v>
      </c>
    </row>
    <row r="15" spans="5:19" ht="16" x14ac:dyDescent="0.2">
      <c r="H15">
        <v>0</v>
      </c>
      <c r="I15" s="42" t="s">
        <v>109</v>
      </c>
      <c r="J15" s="42">
        <v>0</v>
      </c>
      <c r="K15" s="42">
        <v>49.99</v>
      </c>
      <c r="R15" s="42" t="s">
        <v>109</v>
      </c>
      <c r="S15">
        <v>0</v>
      </c>
    </row>
    <row r="18" spans="2:6" x14ac:dyDescent="0.2">
      <c r="B18" s="39">
        <v>4</v>
      </c>
      <c r="C18" s="39" t="s">
        <v>100</v>
      </c>
      <c r="D18" s="39">
        <v>80</v>
      </c>
      <c r="E18" s="39">
        <v>100</v>
      </c>
      <c r="F18" s="39" t="s">
        <v>100</v>
      </c>
    </row>
    <row r="19" spans="2:6" x14ac:dyDescent="0.2">
      <c r="B19" s="39">
        <v>3.66</v>
      </c>
      <c r="C19" s="39" t="s">
        <v>101</v>
      </c>
      <c r="D19" s="39">
        <v>76.666666666666657</v>
      </c>
      <c r="E19" s="39">
        <v>79.989999999999995</v>
      </c>
      <c r="F19" s="39" t="s">
        <v>101</v>
      </c>
    </row>
    <row r="20" spans="2:6" x14ac:dyDescent="0.2">
      <c r="B20" s="39">
        <v>3.33</v>
      </c>
      <c r="C20" s="39" t="s">
        <v>102</v>
      </c>
      <c r="D20" s="39">
        <v>73.333333333333329</v>
      </c>
      <c r="E20" s="39">
        <v>76.656666666666652</v>
      </c>
      <c r="F20" s="39" t="s">
        <v>102</v>
      </c>
    </row>
    <row r="21" spans="2:6" x14ac:dyDescent="0.2">
      <c r="B21" s="39">
        <v>3</v>
      </c>
      <c r="C21" s="39" t="s">
        <v>103</v>
      </c>
      <c r="D21" s="39">
        <v>70</v>
      </c>
      <c r="E21" s="39">
        <v>73.323333333333323</v>
      </c>
      <c r="F21" s="39" t="s">
        <v>103</v>
      </c>
    </row>
    <row r="22" spans="2:6" x14ac:dyDescent="0.2">
      <c r="B22" s="39">
        <v>3.66</v>
      </c>
      <c r="C22" s="39" t="s">
        <v>104</v>
      </c>
      <c r="D22" s="39">
        <v>66.666666666666671</v>
      </c>
      <c r="E22" s="39">
        <v>69.989999999999995</v>
      </c>
      <c r="F22" s="39" t="s">
        <v>104</v>
      </c>
    </row>
    <row r="23" spans="2:6" x14ac:dyDescent="0.2">
      <c r="B23" s="39">
        <v>2.33</v>
      </c>
      <c r="C23" s="39" t="s">
        <v>105</v>
      </c>
      <c r="D23" s="39">
        <v>63.333333333333336</v>
      </c>
      <c r="E23" s="39">
        <v>66.656666666666666</v>
      </c>
      <c r="F23" s="39" t="s">
        <v>105</v>
      </c>
    </row>
    <row r="24" spans="2:6" x14ac:dyDescent="0.2">
      <c r="B24" s="39">
        <v>2</v>
      </c>
      <c r="C24" s="39" t="s">
        <v>106</v>
      </c>
      <c r="D24" s="39">
        <v>60</v>
      </c>
      <c r="E24" s="39">
        <v>63.323333333333338</v>
      </c>
      <c r="F24" s="39" t="s">
        <v>106</v>
      </c>
    </row>
    <row r="25" spans="2:6" x14ac:dyDescent="0.2">
      <c r="B25" s="39">
        <v>1.66</v>
      </c>
      <c r="C25" s="39" t="s">
        <v>107</v>
      </c>
      <c r="D25" s="39">
        <v>56.666666666666671</v>
      </c>
      <c r="E25" s="39">
        <v>59.99</v>
      </c>
      <c r="F25" s="39" t="s">
        <v>107</v>
      </c>
    </row>
    <row r="26" spans="2:6" x14ac:dyDescent="0.2">
      <c r="B26" s="39">
        <v>1.33</v>
      </c>
      <c r="C26" s="39" t="s">
        <v>110</v>
      </c>
      <c r="D26" s="39">
        <v>53.333333333333336</v>
      </c>
      <c r="E26" s="39">
        <v>56.656666666666673</v>
      </c>
      <c r="F26" s="39" t="s">
        <v>110</v>
      </c>
    </row>
    <row r="27" spans="2:6" x14ac:dyDescent="0.2">
      <c r="B27" s="39">
        <v>1</v>
      </c>
      <c r="C27" s="39" t="s">
        <v>108</v>
      </c>
      <c r="D27" s="39">
        <v>50</v>
      </c>
      <c r="E27" s="39">
        <v>53.323333333333338</v>
      </c>
      <c r="F27" s="39" t="s">
        <v>108</v>
      </c>
    </row>
    <row r="28" spans="2:6" x14ac:dyDescent="0.2">
      <c r="B28" s="39">
        <v>0</v>
      </c>
      <c r="C28" s="39" t="s">
        <v>109</v>
      </c>
      <c r="D28" s="39"/>
      <c r="E28" s="44" t="s">
        <v>114</v>
      </c>
      <c r="F28" s="39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TEKNOLOGI INFORMASI (2)</vt:lpstr>
      <vt:lpstr>PENGAMPU 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U53R</dc:creator>
  <cp:lastModifiedBy>lufias</cp:lastModifiedBy>
  <dcterms:created xsi:type="dcterms:W3CDTF">2022-09-14T07:02:42Z</dcterms:created>
  <dcterms:modified xsi:type="dcterms:W3CDTF">2024-07-12T11:32:15Z</dcterms:modified>
</cp:coreProperties>
</file>