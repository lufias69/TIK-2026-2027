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ISTEK-AK\Prodi TI\Kurikulum\"/>
    </mc:Choice>
  </mc:AlternateContent>
  <xr:revisionPtr revIDLastSave="0" documentId="8_{1DE8E8A3-D167-4CDF-B778-BF1E4F8C300A}" xr6:coauthVersionLast="47" xr6:coauthVersionMax="47" xr10:uidLastSave="{00000000-0000-0000-0000-000000000000}"/>
  <bookViews>
    <workbookView xWindow="-108" yWindow="-108" windowWidth="23256" windowHeight="12456" xr2:uid="{66479F7C-6A1C-4F5E-85F7-4C5215973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G26" i="1"/>
  <c r="G27" i="1" s="1"/>
  <c r="C23" i="1"/>
  <c r="C22" i="1"/>
  <c r="C21" i="1"/>
  <c r="C20" i="1"/>
  <c r="C19" i="1"/>
  <c r="C18" i="1"/>
  <c r="H15" i="1"/>
  <c r="G15" i="1"/>
  <c r="G16" i="1" s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<sst xmlns="http://schemas.openxmlformats.org/spreadsheetml/2006/main" count="55" uniqueCount="36">
  <si>
    <t>KURIKULUM PRODI TEKNOLOGI INFORMASI</t>
  </si>
  <si>
    <t>Semester</t>
  </si>
  <si>
    <t>Kode Matkul</t>
  </si>
  <si>
    <t>Nama Mata Kuliah</t>
  </si>
  <si>
    <t>Bobot SKS</t>
  </si>
  <si>
    <t>RPS</t>
  </si>
  <si>
    <t>Teori</t>
  </si>
  <si>
    <t>Praktik</t>
  </si>
  <si>
    <t>ISA101</t>
  </si>
  <si>
    <t>ISA</t>
  </si>
  <si>
    <t>Keimanan, Kemanusiaan dan Akhlak</t>
  </si>
  <si>
    <t>TKI</t>
  </si>
  <si>
    <t>Logika Informatika</t>
  </si>
  <si>
    <t>√</t>
  </si>
  <si>
    <t>Algoritma &amp; Pemrograman</t>
  </si>
  <si>
    <t>Bahasa Inggris I</t>
  </si>
  <si>
    <t>Pengantar Teknologi Informasi</t>
  </si>
  <si>
    <t>Komunikasi Data</t>
  </si>
  <si>
    <t>Aljabar Linear dan Matriks</t>
  </si>
  <si>
    <t>Pancasila</t>
  </si>
  <si>
    <t>Bahasa Indonesia</t>
  </si>
  <si>
    <t>Total SKS</t>
  </si>
  <si>
    <t>INS2102</t>
  </si>
  <si>
    <t>INS</t>
  </si>
  <si>
    <t>AIK II (Ibadah dan Muamalah)</t>
  </si>
  <si>
    <t>TIN</t>
  </si>
  <si>
    <t>Komputer Grafis</t>
  </si>
  <si>
    <t>Struktur Data</t>
  </si>
  <si>
    <t>Bahasa Inggris Sains</t>
  </si>
  <si>
    <t>Sistem Operasi</t>
  </si>
  <si>
    <t>Sistem Basis Data</t>
  </si>
  <si>
    <t>Kalkulus</t>
  </si>
  <si>
    <t>INS2105</t>
  </si>
  <si>
    <t>Kewirausahaan</t>
  </si>
  <si>
    <t>NAS2103</t>
  </si>
  <si>
    <t>Kewarganegaraan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</si>
</sst>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3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A88E-F14B-42AC-AF94-016A4FCC7C11}">
  <dimension ref="B2:I27"/>
  <sheetViews>
    <sheetView tabSelected="1" workbookViewId="0">
      <selection activeCell="G10" sqref="G10"/>
    </sheetView>
  </sheetViews>
  <sheetFormatPr defaultRowHeight="14.4" x14ac:dyDescent="0.3"/>
  <cols>
    <col min="6" max="6" width="33.6640625" bestFit="1" customWidth="1"/>
  </cols>
  <sheetData>
    <row r="2" spans="2:9" ht="18" x14ac:dyDescent="0.35">
      <c r="B2" s="1" t="s">
        <v>0</v>
      </c>
      <c r="C2" s="2"/>
      <c r="D2" s="2"/>
      <c r="E2" s="2"/>
      <c r="F2" s="2"/>
      <c r="G2" s="2"/>
      <c r="H2" s="2"/>
      <c r="I2" s="2"/>
    </row>
    <row r="4" spans="2:9" ht="15.6" x14ac:dyDescent="0.3">
      <c r="B4" s="3" t="s">
        <v>1</v>
      </c>
      <c r="C4" s="3" t="s">
        <v>2</v>
      </c>
      <c r="D4" s="4"/>
      <c r="E4" s="4"/>
      <c r="F4" s="3" t="s">
        <v>3</v>
      </c>
      <c r="G4" s="5" t="s">
        <v>4</v>
      </c>
      <c r="H4" s="6"/>
      <c r="I4" s="3" t="s">
        <v>5</v>
      </c>
    </row>
    <row r="5" spans="2:9" ht="15.6" x14ac:dyDescent="0.3">
      <c r="B5" s="7"/>
      <c r="C5" s="7"/>
      <c r="D5" s="8"/>
      <c r="E5" s="8"/>
      <c r="F5" s="7"/>
      <c r="G5" s="9" t="s">
        <v>6</v>
      </c>
      <c r="H5" s="9" t="s">
        <v>7</v>
      </c>
      <c r="I5" s="7"/>
    </row>
    <row r="6" spans="2:9" ht="15.6" x14ac:dyDescent="0.3">
      <c r="B6" s="10">
        <v>1</v>
      </c>
      <c r="C6" s="11" t="s">
        <v>8</v>
      </c>
      <c r="D6" s="11" t="s">
        <v>9</v>
      </c>
      <c r="E6" s="11">
        <v>1</v>
      </c>
      <c r="F6" s="12" t="s">
        <v>10</v>
      </c>
      <c r="G6" s="13">
        <v>2</v>
      </c>
      <c r="H6" s="13">
        <v>0</v>
      </c>
      <c r="I6" s="13"/>
    </row>
    <row r="7" spans="2:9" ht="15.6" x14ac:dyDescent="0.3">
      <c r="B7" s="14"/>
      <c r="C7" s="11" t="str">
        <f t="shared" ref="C7:C14" si="0">D7&amp;$B$6&amp;"0"&amp;E7</f>
        <v>TKI101</v>
      </c>
      <c r="D7" s="11" t="s">
        <v>11</v>
      </c>
      <c r="E7" s="11">
        <v>1</v>
      </c>
      <c r="F7" s="12" t="s">
        <v>12</v>
      </c>
      <c r="G7" s="13">
        <v>2</v>
      </c>
      <c r="H7" s="13">
        <v>0</v>
      </c>
      <c r="I7" s="13" t="s">
        <v>13</v>
      </c>
    </row>
    <row r="8" spans="2:9" ht="15.6" x14ac:dyDescent="0.3">
      <c r="B8" s="14"/>
      <c r="C8" s="11" t="str">
        <f t="shared" si="0"/>
        <v>TKI102</v>
      </c>
      <c r="D8" s="11" t="s">
        <v>11</v>
      </c>
      <c r="E8" s="11">
        <v>2</v>
      </c>
      <c r="F8" s="12" t="s">
        <v>14</v>
      </c>
      <c r="G8" s="13">
        <v>2</v>
      </c>
      <c r="H8" s="13">
        <v>2</v>
      </c>
      <c r="I8" s="13" t="s">
        <v>13</v>
      </c>
    </row>
    <row r="9" spans="2:9" ht="15.6" x14ac:dyDescent="0.3">
      <c r="B9" s="14"/>
      <c r="C9" s="11" t="str">
        <f t="shared" si="0"/>
        <v>ISA104</v>
      </c>
      <c r="D9" s="11" t="s">
        <v>9</v>
      </c>
      <c r="E9" s="11">
        <v>4</v>
      </c>
      <c r="F9" s="12" t="s">
        <v>15</v>
      </c>
      <c r="G9" s="13">
        <v>2</v>
      </c>
      <c r="H9" s="13">
        <v>0</v>
      </c>
      <c r="I9" s="13"/>
    </row>
    <row r="10" spans="2:9" ht="15.6" x14ac:dyDescent="0.3">
      <c r="B10" s="14"/>
      <c r="C10" s="11" t="str">
        <f t="shared" si="0"/>
        <v>TKI103</v>
      </c>
      <c r="D10" s="11" t="s">
        <v>11</v>
      </c>
      <c r="E10" s="11">
        <v>3</v>
      </c>
      <c r="F10" s="12" t="s">
        <v>16</v>
      </c>
      <c r="G10" s="13">
        <v>2</v>
      </c>
      <c r="H10" s="13">
        <v>0</v>
      </c>
      <c r="I10" s="13" t="s">
        <v>13</v>
      </c>
    </row>
    <row r="11" spans="2:9" ht="15.6" x14ac:dyDescent="0.3">
      <c r="B11" s="14"/>
      <c r="C11" s="11" t="str">
        <f t="shared" si="0"/>
        <v>TKI104</v>
      </c>
      <c r="D11" s="11" t="s">
        <v>11</v>
      </c>
      <c r="E11" s="11">
        <v>4</v>
      </c>
      <c r="F11" s="12" t="s">
        <v>17</v>
      </c>
      <c r="G11" s="13">
        <v>2</v>
      </c>
      <c r="H11" s="13">
        <v>0</v>
      </c>
      <c r="I11" s="13"/>
    </row>
    <row r="12" spans="2:9" ht="15.6" x14ac:dyDescent="0.3">
      <c r="B12" s="14"/>
      <c r="C12" s="11" t="str">
        <f t="shared" si="0"/>
        <v>TKI105</v>
      </c>
      <c r="D12" s="11" t="s">
        <v>11</v>
      </c>
      <c r="E12" s="11">
        <v>5</v>
      </c>
      <c r="F12" s="12" t="s">
        <v>18</v>
      </c>
      <c r="G12" s="13">
        <v>2</v>
      </c>
      <c r="H12" s="13">
        <v>0</v>
      </c>
      <c r="I12" s="13"/>
    </row>
    <row r="13" spans="2:9" ht="15.6" x14ac:dyDescent="0.3">
      <c r="B13" s="14"/>
      <c r="C13" s="11" t="str">
        <f t="shared" si="0"/>
        <v>ISA103</v>
      </c>
      <c r="D13" s="11" t="s">
        <v>9</v>
      </c>
      <c r="E13" s="11">
        <v>3</v>
      </c>
      <c r="F13" s="12" t="s">
        <v>19</v>
      </c>
      <c r="G13" s="13">
        <v>2</v>
      </c>
      <c r="H13" s="13">
        <v>0</v>
      </c>
      <c r="I13" s="13"/>
    </row>
    <row r="14" spans="2:9" ht="15.6" x14ac:dyDescent="0.3">
      <c r="B14" s="14"/>
      <c r="C14" s="11" t="str">
        <f t="shared" si="0"/>
        <v>ISA102</v>
      </c>
      <c r="D14" s="11" t="s">
        <v>9</v>
      </c>
      <c r="E14" s="11">
        <v>2</v>
      </c>
      <c r="F14" s="12" t="s">
        <v>20</v>
      </c>
      <c r="G14" s="13">
        <v>2</v>
      </c>
      <c r="H14" s="13">
        <v>0</v>
      </c>
      <c r="I14" s="13"/>
    </row>
    <row r="15" spans="2:9" ht="15.6" x14ac:dyDescent="0.3">
      <c r="B15" s="14"/>
      <c r="C15" s="11"/>
      <c r="D15" s="11"/>
      <c r="E15" s="11"/>
      <c r="F15" s="3" t="s">
        <v>21</v>
      </c>
      <c r="G15" s="15">
        <f t="shared" ref="G15:H15" si="1">SUM(G6:G14)</f>
        <v>18</v>
      </c>
      <c r="H15" s="15">
        <f t="shared" si="1"/>
        <v>2</v>
      </c>
      <c r="I15" s="13"/>
    </row>
    <row r="16" spans="2:9" ht="15.6" x14ac:dyDescent="0.3">
      <c r="B16" s="7"/>
      <c r="C16" s="11"/>
      <c r="D16" s="11"/>
      <c r="E16" s="11"/>
      <c r="F16" s="7"/>
      <c r="G16" s="16">
        <f>SUM(G15:H15)</f>
        <v>20</v>
      </c>
      <c r="H16" s="6"/>
      <c r="I16" s="13"/>
    </row>
    <row r="17" spans="2:9" ht="15.6" x14ac:dyDescent="0.3">
      <c r="B17" s="10">
        <v>2</v>
      </c>
      <c r="C17" s="11" t="s">
        <v>22</v>
      </c>
      <c r="D17" s="11" t="s">
        <v>23</v>
      </c>
      <c r="E17" s="11">
        <v>2</v>
      </c>
      <c r="F17" s="12" t="s">
        <v>24</v>
      </c>
      <c r="G17" s="11">
        <v>1</v>
      </c>
      <c r="H17" s="11">
        <v>1</v>
      </c>
      <c r="I17" s="17"/>
    </row>
    <row r="18" spans="2:9" ht="15.6" x14ac:dyDescent="0.3">
      <c r="B18" s="14"/>
      <c r="C18" s="11" t="str">
        <f>D18&amp;$B$17&amp;"1"&amp;"0"&amp;E18</f>
        <v>TIN2106</v>
      </c>
      <c r="D18" s="11" t="s">
        <v>25</v>
      </c>
      <c r="E18" s="11">
        <v>6</v>
      </c>
      <c r="F18" s="12" t="s">
        <v>26</v>
      </c>
      <c r="G18" s="13">
        <v>0</v>
      </c>
      <c r="H18" s="18">
        <v>2</v>
      </c>
      <c r="I18" s="19"/>
    </row>
    <row r="19" spans="2:9" ht="15.6" x14ac:dyDescent="0.3">
      <c r="B19" s="14"/>
      <c r="C19" s="11" t="str">
        <f>D19&amp;$B$17&amp;"1"&amp;"0"&amp;E19</f>
        <v>TIN2108</v>
      </c>
      <c r="D19" s="11" t="s">
        <v>25</v>
      </c>
      <c r="E19" s="11">
        <v>8</v>
      </c>
      <c r="F19" s="12" t="s">
        <v>27</v>
      </c>
      <c r="G19" s="11">
        <v>2</v>
      </c>
      <c r="H19" s="11">
        <v>2</v>
      </c>
      <c r="I19" s="20"/>
    </row>
    <row r="20" spans="2:9" ht="15.6" x14ac:dyDescent="0.3">
      <c r="B20" s="14"/>
      <c r="C20" s="11" t="str">
        <f t="shared" ref="C20" si="2">D20&amp;$B$17&amp;"1"&amp;"0"&amp;E20</f>
        <v>TIN2109</v>
      </c>
      <c r="D20" s="11" t="s">
        <v>25</v>
      </c>
      <c r="E20" s="11">
        <v>9</v>
      </c>
      <c r="F20" s="12" t="s">
        <v>28</v>
      </c>
      <c r="G20" s="11">
        <v>2</v>
      </c>
      <c r="H20" s="11">
        <v>0</v>
      </c>
      <c r="I20" s="13"/>
    </row>
    <row r="21" spans="2:9" ht="15.6" x14ac:dyDescent="0.3">
      <c r="B21" s="14"/>
      <c r="C21" s="11" t="str">
        <f>D21&amp;$B$17&amp;"1"&amp;"0"&amp;E21</f>
        <v>TIN2107</v>
      </c>
      <c r="D21" s="11" t="s">
        <v>25</v>
      </c>
      <c r="E21" s="11">
        <v>7</v>
      </c>
      <c r="F21" s="12" t="s">
        <v>29</v>
      </c>
      <c r="G21" s="11">
        <v>2</v>
      </c>
      <c r="H21" s="11">
        <v>0</v>
      </c>
      <c r="I21" s="13" t="s">
        <v>13</v>
      </c>
    </row>
    <row r="22" spans="2:9" ht="15.6" x14ac:dyDescent="0.3">
      <c r="B22" s="14"/>
      <c r="C22" s="11" t="str">
        <f>D22&amp;$B$17&amp;"1"&amp;""&amp;E22</f>
        <v>TIN2111</v>
      </c>
      <c r="D22" s="11" t="s">
        <v>25</v>
      </c>
      <c r="E22" s="11">
        <v>11</v>
      </c>
      <c r="F22" s="12" t="s">
        <v>30</v>
      </c>
      <c r="G22" s="11">
        <v>2</v>
      </c>
      <c r="H22" s="11">
        <v>2</v>
      </c>
      <c r="I22" s="13" t="s">
        <v>13</v>
      </c>
    </row>
    <row r="23" spans="2:9" ht="15.6" x14ac:dyDescent="0.3">
      <c r="B23" s="14"/>
      <c r="C23" s="11" t="str">
        <f>D23&amp;$B$17&amp;"1"&amp;E23</f>
        <v>TIN2110</v>
      </c>
      <c r="D23" s="11" t="s">
        <v>25</v>
      </c>
      <c r="E23" s="11">
        <v>10</v>
      </c>
      <c r="F23" s="12" t="s">
        <v>31</v>
      </c>
      <c r="G23" s="13">
        <v>2</v>
      </c>
      <c r="H23" s="13">
        <v>0</v>
      </c>
      <c r="I23" s="13"/>
    </row>
    <row r="24" spans="2:9" ht="15.6" x14ac:dyDescent="0.3">
      <c r="B24" s="14"/>
      <c r="C24" s="11" t="s">
        <v>32</v>
      </c>
      <c r="D24" s="11" t="s">
        <v>9</v>
      </c>
      <c r="E24" s="11"/>
      <c r="F24" s="12" t="s">
        <v>33</v>
      </c>
      <c r="G24" s="13">
        <v>2</v>
      </c>
      <c r="H24" s="13">
        <v>0</v>
      </c>
      <c r="I24" s="13"/>
    </row>
    <row r="25" spans="2:9" ht="15.6" x14ac:dyDescent="0.3">
      <c r="B25" s="14"/>
      <c r="C25" s="11" t="s">
        <v>34</v>
      </c>
      <c r="D25" s="11" t="s">
        <v>9</v>
      </c>
      <c r="E25" s="11"/>
      <c r="F25" s="12" t="s">
        <v>35</v>
      </c>
      <c r="G25" s="11">
        <v>2</v>
      </c>
      <c r="H25" s="11">
        <v>0</v>
      </c>
      <c r="I25" s="13"/>
    </row>
    <row r="26" spans="2:9" ht="15.6" x14ac:dyDescent="0.3">
      <c r="B26" s="14"/>
      <c r="C26" s="11"/>
      <c r="D26" s="11"/>
      <c r="E26" s="11"/>
      <c r="F26" s="3" t="s">
        <v>21</v>
      </c>
      <c r="G26" s="21">
        <f>SUM(G17:G25)</f>
        <v>15</v>
      </c>
      <c r="H26" s="21">
        <f>SUM(H17:H25)</f>
        <v>7</v>
      </c>
      <c r="I26" s="13"/>
    </row>
    <row r="27" spans="2:9" ht="15.6" x14ac:dyDescent="0.3">
      <c r="B27" s="7"/>
      <c r="C27" s="11"/>
      <c r="D27" s="11"/>
      <c r="E27" s="11"/>
      <c r="F27" s="7"/>
      <c r="G27" s="16">
        <f>G26+H26</f>
        <v>22</v>
      </c>
      <c r="H27" s="6"/>
      <c r="I27" s="13"/>
    </row>
  </sheetData>
  <mergeCells count="12">
    <mergeCell ref="B6:B16"/>
    <mergeCell ref="F15:F16"/>
    <mergeCell ref="G16:H16"/>
    <mergeCell ref="B17:B27"/>
    <mergeCell ref="F26:F27"/>
    <mergeCell ref="G27:H27"/>
    <mergeCell ref="B2:I2"/>
    <mergeCell ref="B4:B5"/>
    <mergeCell ref="C4:C5"/>
    <mergeCell ref="F4:F5"/>
    <mergeCell ref="G4:H4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lufias</dc:creator>
  <cp:lastModifiedBy>lufias</cp:lastModifiedBy>
  <dcterms:created xsi:type="dcterms:W3CDTF">2023-10-27T11:47:15Z</dcterms:created>
  <dcterms:modified xsi:type="dcterms:W3CDTF">2023-10-27T13:15:36Z</dcterms:modified>
</cp:coreProperties>
</file>